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utchison\projects\GitLab\fema_cria\data\"/>
    </mc:Choice>
  </mc:AlternateContent>
  <xr:revisionPtr revIDLastSave="0" documentId="13_ncr:1_{9F311704-CA57-4668-AFDC-95CEC594F9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atus" sheetId="1" r:id="rId1"/>
    <sheet name="Years" sheetId="4" r:id="rId2"/>
    <sheet name="Reference" sheetId="3" state="hidden" r:id="rId3"/>
  </sheets>
  <definedNames>
    <definedName name="S0101_C01_030E" localSheetId="0">Status!$J$6</definedName>
    <definedName name="S2301_C02_001E" localSheetId="0">Status!$Q$3</definedName>
    <definedName name="Status">Reference!$A$2:$A$3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G16" i="3" l="1"/>
  <c r="F16" i="3"/>
  <c r="G8" i="3"/>
  <c r="F8" i="3"/>
  <c r="D8" i="3"/>
  <c r="C8" i="3"/>
</calcChain>
</file>

<file path=xl/sharedStrings.xml><?xml version="1.0" encoding="utf-8"?>
<sst xmlns="http://schemas.openxmlformats.org/spreadsheetml/2006/main" count="335" uniqueCount="198">
  <si>
    <t>Age</t>
  </si>
  <si>
    <t>Downloaded</t>
  </si>
  <si>
    <t>Disability</t>
  </si>
  <si>
    <t>Education</t>
  </si>
  <si>
    <t>Unemployment</t>
  </si>
  <si>
    <t>GINI</t>
  </si>
  <si>
    <t>Limited English</t>
  </si>
  <si>
    <t>Median Income</t>
  </si>
  <si>
    <t>Mobile Homes</t>
  </si>
  <si>
    <t>Owner Occupied</t>
  </si>
  <si>
    <t>Single Parent</t>
  </si>
  <si>
    <t>Vacant Rentals</t>
  </si>
  <si>
    <t>No Vehicle</t>
  </si>
  <si>
    <t>Status</t>
  </si>
  <si>
    <t>Issue</t>
  </si>
  <si>
    <t>numerator</t>
  </si>
  <si>
    <t>denominator</t>
  </si>
  <si>
    <t>DP04_0014E</t>
  </si>
  <si>
    <t>DP04_0001E</t>
  </si>
  <si>
    <t>DP04_0046E</t>
  </si>
  <si>
    <t>B08201_001E</t>
  </si>
  <si>
    <t>B08201_002E</t>
  </si>
  <si>
    <t>B19083_001E</t>
  </si>
  <si>
    <t>S0101_C01_001E</t>
  </si>
  <si>
    <t>S0101_C01_015E</t>
  </si>
  <si>
    <t>Estimate!!Total!!Total population!!AGE!!65 to 69 years</t>
  </si>
  <si>
    <t>S0101_C01_016E</t>
  </si>
  <si>
    <t>Estimate!!Total!!Total population!!AGE!!70 to 74 years</t>
  </si>
  <si>
    <t>S0101_C01_017E</t>
  </si>
  <si>
    <t>Estimate!!Total!!Total population!!AGE!!75 to 79 years</t>
  </si>
  <si>
    <t>S0101_C01_018E</t>
  </si>
  <si>
    <t>Estimate!!Total!!Total population!!AGE!!80 to 84 years</t>
  </si>
  <si>
    <t>S0101_C01_019E</t>
  </si>
  <si>
    <t>Estimate!!Total!!Total population!!AGE!!85 years and over</t>
  </si>
  <si>
    <t xml:space="preserve">, </t>
  </si>
  <si>
    <t xml:space="preserve">;  </t>
  </si>
  <si>
    <t>S1501_C01_006E</t>
  </si>
  <si>
    <t>Estimate!!Total!!AGE BY EDUCATIONAL ATTAINMENT!!Population 25 years and over</t>
  </si>
  <si>
    <t>S1501_C01_007E</t>
  </si>
  <si>
    <t>Estimate!!Total!!AGE BY EDUCATIONAL ATTAINMENT!!Population 25 years and over!!Less than 9th grade</t>
  </si>
  <si>
    <t>S1501_C01_008E</t>
  </si>
  <si>
    <t>Estimate!!Total!!AGE BY EDUCATIONAL ATTAINMENT!!Population 25 years and over!!9th to 12th grade, no diploma</t>
  </si>
  <si>
    <t>l</t>
  </si>
  <si>
    <t>S1501_C01_001E</t>
  </si>
  <si>
    <t>Estimate!!Total!!AGE BY EDUCATIONAL ATTAINMENT!!Population 18 to 24 years</t>
  </si>
  <si>
    <t>S1501_C01_002E</t>
  </si>
  <si>
    <t>Estimate!!Total!!AGE BY EDUCATIONAL ATTAINMENT!!Population 18 to 24 years!!Less than high school graduate</t>
  </si>
  <si>
    <t>S1602_C01_001E</t>
  </si>
  <si>
    <t>S1602_C03_001E</t>
  </si>
  <si>
    <t>S1810_C01_001E</t>
  </si>
  <si>
    <t>S1810_C02_001E</t>
  </si>
  <si>
    <t>Augment</t>
  </si>
  <si>
    <t>S1903_C03_001E</t>
  </si>
  <si>
    <t>Civil Org</t>
  </si>
  <si>
    <t>number civic social orgs per 10000 people</t>
  </si>
  <si>
    <t>NAICS</t>
  </si>
  <si>
    <t>number hospitals per 10000 people</t>
  </si>
  <si>
    <t>rate</t>
  </si>
  <si>
    <t>Medical</t>
  </si>
  <si>
    <t>number health-diagnosing practitioners</t>
  </si>
  <si>
    <t>Religion</t>
  </si>
  <si>
    <t>percentage of population that are religious</t>
  </si>
  <si>
    <t>Schools</t>
  </si>
  <si>
    <t>Population Change</t>
  </si>
  <si>
    <t>Hotel</t>
  </si>
  <si>
    <t>721110, 721120</t>
  </si>
  <si>
    <t>School_Count</t>
  </si>
  <si>
    <t>S2401_C01_016E</t>
  </si>
  <si>
    <t>Household Income</t>
  </si>
  <si>
    <t>Income Inequality</t>
  </si>
  <si>
    <t>Hospitals</t>
  </si>
  <si>
    <t>DP04_0005E</t>
  </si>
  <si>
    <t>Uninsured Population</t>
  </si>
  <si>
    <t>Units</t>
  </si>
  <si>
    <t>DP02_0007E, DP02_0011E</t>
  </si>
  <si>
    <t>DP02_0014E</t>
  </si>
  <si>
    <t>index</t>
  </si>
  <si>
    <t>fraction</t>
  </si>
  <si>
    <t>dollar</t>
  </si>
  <si>
    <t>adj count</t>
  </si>
  <si>
    <t>S1501_C01_007E, S1501_C01_008E</t>
  </si>
  <si>
    <t>Label</t>
  </si>
  <si>
    <t>Unemployment Rate</t>
  </si>
  <si>
    <t>Limited English Language Proficiency</t>
  </si>
  <si>
    <t>Mobility – Lack of Vehicle</t>
  </si>
  <si>
    <t>Age 65 and Older</t>
  </si>
  <si>
    <t>Lack of Health Insurance</t>
  </si>
  <si>
    <t>Single-Parent Households</t>
  </si>
  <si>
    <t>Voter Participation - Inactive Voters</t>
  </si>
  <si>
    <t>Lack of Economic Diversity</t>
  </si>
  <si>
    <t>Low Access to Communications</t>
  </si>
  <si>
    <t>Poverty</t>
  </si>
  <si>
    <t>DP03_0033E, DP03_0034E, DP03_0035E, DP03_0036E, DP03_0037E, DP03_0038E, DP03_0039E, DP03_0040E, DP03_0041E, DP03_0042E, DP03_0043E, DP03_0044E, DP03_0045E</t>
  </si>
  <si>
    <t>DP03_0032E</t>
  </si>
  <si>
    <t>Function</t>
  </si>
  <si>
    <t>DP03_0013E</t>
  </si>
  <si>
    <t>DP03_0012E</t>
  </si>
  <si>
    <t>S1701_C01_001E</t>
  </si>
  <si>
    <t>S1701_C02_001E</t>
  </si>
  <si>
    <t>Inactive Voter</t>
  </si>
  <si>
    <t>Source</t>
  </si>
  <si>
    <t>ACS</t>
  </si>
  <si>
    <t>CBP</t>
  </si>
  <si>
    <t>EAVS</t>
  </si>
  <si>
    <t>notes</t>
  </si>
  <si>
    <t>a/o 5Mar2022, 2020 update in Sep 2022, link: http://www.usreligioncensus.org/maps2020_study</t>
  </si>
  <si>
    <t>ARDA</t>
  </si>
  <si>
    <t>POP</t>
  </si>
  <si>
    <t>A1c</t>
  </si>
  <si>
    <t>A1a</t>
  </si>
  <si>
    <t>TOTADH</t>
  </si>
  <si>
    <t>S2801_C01_005E</t>
  </si>
  <si>
    <t>S2801_C01_001E</t>
  </si>
  <si>
    <t>divide</t>
  </si>
  <si>
    <t>max</t>
  </si>
  <si>
    <t>divide_scalar</t>
  </si>
  <si>
    <t>S2701_C04_001E</t>
  </si>
  <si>
    <t>S2701_C01_001E</t>
  </si>
  <si>
    <t>mean</t>
  </si>
  <si>
    <t>Employed Women</t>
  </si>
  <si>
    <t>compare to women employment, alternate: compare to all over 16</t>
  </si>
  <si>
    <t>DP03_0005E</t>
  </si>
  <si>
    <t>DP03_0003E</t>
  </si>
  <si>
    <t>Indicator</t>
  </si>
  <si>
    <t>Order_Paper</t>
  </si>
  <si>
    <t>Order_Correlation</t>
  </si>
  <si>
    <t>Order_2019</t>
  </si>
  <si>
    <t>Home Ownership</t>
  </si>
  <si>
    <t>Single-Parent Household</t>
  </si>
  <si>
    <t>Presence of Mobile Homes</t>
  </si>
  <si>
    <t>Public School Capacity</t>
  </si>
  <si>
    <t>Medical Professional Capacity</t>
  </si>
  <si>
    <t>Hotel/Motel Capacity</t>
  </si>
  <si>
    <t>Rental Property Capacity</t>
  </si>
  <si>
    <t>Inactive Voters</t>
  </si>
  <si>
    <t>Label_Correlation</t>
  </si>
  <si>
    <t>reverse_divide</t>
  </si>
  <si>
    <t>Unemployed Women</t>
  </si>
  <si>
    <t>positive data, "reverse_divide" to create negative indicator, reverse again for aggregate</t>
  </si>
  <si>
    <t>Tract not available: https://api.census.gov/data/2019/cbp/geography.html
https://www.census.gov/naics/?input=8134&amp;year=2017&amp;details=813410</t>
  </si>
  <si>
    <t>https://www.census.gov/naics/?input=622110&amp;year=2017&amp;details=622110</t>
  </si>
  <si>
    <t>Pop without HS Diploma</t>
  </si>
  <si>
    <t>Non owner-occupied</t>
  </si>
  <si>
    <t>ceiling to the raw value</t>
  </si>
  <si>
    <t>w/o religious affiliation</t>
  </si>
  <si>
    <t>B09005_001E</t>
  </si>
  <si>
    <t>B09005_004E, B09005_005E</t>
  </si>
  <si>
    <t>Mobile Homes as A Percentage of Housing</t>
  </si>
  <si>
    <t>Order_Paper_2022</t>
  </si>
  <si>
    <t>Owner-Occupied Housing</t>
  </si>
  <si>
    <t>Population without High School Diploma</t>
  </si>
  <si>
    <t>Households Without a Vehicle</t>
  </si>
  <si>
    <t>Population Age 65 and Older</t>
  </si>
  <si>
    <t>Population with a Disability</t>
  </si>
  <si>
    <t>Limited English Speaking Households</t>
  </si>
  <si>
    <t>Households without a Smartphone</t>
  </si>
  <si>
    <t>Presence of Civic and Social Organizations</t>
  </si>
  <si>
    <t>Population without Religious Affiliation</t>
  </si>
  <si>
    <t>Unemployed Population</t>
  </si>
  <si>
    <t>Median Household Income</t>
  </si>
  <si>
    <t>Workforce Employed in Dominant Sector</t>
  </si>
  <si>
    <t>Population Below Poverty Level</t>
  </si>
  <si>
    <t>Number of Hospitals</t>
  </si>
  <si>
    <t>Population without Health Insurance</t>
  </si>
  <si>
    <t>Age over 65</t>
  </si>
  <si>
    <t>Low Educational Attainment</t>
  </si>
  <si>
    <t>Limited English Speaking</t>
  </si>
  <si>
    <t>No Health Insurance</t>
  </si>
  <si>
    <t>No Affiliation with a Religion</t>
  </si>
  <si>
    <t>Employment in Dominant Sector</t>
  </si>
  <si>
    <t>No Smartphone</t>
  </si>
  <si>
    <t>reverse</t>
  </si>
  <si>
    <t>label_2019</t>
  </si>
  <si>
    <t>label_long</t>
  </si>
  <si>
    <t>NETMIG</t>
  </si>
  <si>
    <t>label</t>
  </si>
  <si>
    <t>year_ref</t>
  </si>
  <si>
    <t>acs</t>
  </si>
  <si>
    <t>cbp</t>
  </si>
  <si>
    <t>naics</t>
  </si>
  <si>
    <t>pop</t>
  </si>
  <si>
    <t>acs_labels</t>
  </si>
  <si>
    <t>idx</t>
  </si>
  <si>
    <t>asarb</t>
  </si>
  <si>
    <t>year_2020</t>
  </si>
  <si>
    <t>year_2021</t>
  </si>
  <si>
    <t>S0101_C01_030E</t>
  </si>
  <si>
    <t>S1601_C01_003E</t>
  </si>
  <si>
    <t>S1601_C01_001E</t>
  </si>
  <si>
    <t>year_2022</t>
  </si>
  <si>
    <t>year_2023</t>
  </si>
  <si>
    <t>RACE</t>
  </si>
  <si>
    <t>RACE_GENERAL</t>
  </si>
  <si>
    <t>race</t>
  </si>
  <si>
    <t>B02001_001E</t>
  </si>
  <si>
    <t>B02001_003E,B02001_004E,B02001_005E,B02001_006E,B02001_007E,B02001_008E</t>
  </si>
  <si>
    <t>Order_2023</t>
  </si>
  <si>
    <t>year_2024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</si>
</sst>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0" xfId="1" applyAlignment="1">
      <alignment horizontal="left" vertical="center"/>
    </xf>
    <xf numFmtId="0" fontId="0" fillId="0" borderId="0" xfId="0" applyAlignment="1">
      <alignment horizontal="center"/>
    </xf>
    <xf numFmtId="0" fontId="5" fillId="7" borderId="0" xfId="3"/>
    <xf numFmtId="0" fontId="4" fillId="6" borderId="0" xfId="2" applyAlignment="1">
      <alignment horizontal="left" vertical="center"/>
    </xf>
    <xf numFmtId="0" fontId="5" fillId="7" borderId="0" xfId="3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29" totalsRowShown="0" headerRowDxfId="20" dataDxfId="19">
  <autoFilter ref="A1:S29" xr:uid="{00000000-0009-0000-0100-000001000000}"/>
  <sortState xmlns:xlrd2="http://schemas.microsoft.com/office/spreadsheetml/2017/richdata2" ref="A2:S29">
    <sortCondition ref="C1:C29"/>
  </sortState>
  <tableColumns count="19">
    <tableColumn id="3" xr3:uid="{00000000-0010-0000-0000-000003000000}" name="Order_Paper" dataDxfId="18"/>
    <tableColumn id="14" xr3:uid="{FC27B1BA-FB4F-4F82-8E88-C7E6AB7B4DF4}" name="Order_2023" dataDxfId="17"/>
    <tableColumn id="12" xr3:uid="{00000000-0010-0000-0000-00000C000000}" name="Order_Paper_2022" dataDxfId="16"/>
    <tableColumn id="2" xr3:uid="{00000000-0010-0000-0000-000002000000}" name="Order_Correlation" dataDxfId="15"/>
    <tableColumn id="8" xr3:uid="{00000000-0010-0000-0000-000008000000}" name="Order_2019" dataDxfId="14"/>
    <tableColumn id="1" xr3:uid="{00000000-0010-0000-0000-000001000000}" name="Indicator" dataDxfId="13" dataCellStyle="Normal"/>
    <tableColumn id="4" xr3:uid="{00000000-0010-0000-0000-000004000000}" name="Label" dataDxfId="12"/>
    <tableColumn id="9" xr3:uid="{00000000-0010-0000-0000-000009000000}" name="Label_Correlation" dataDxfId="11"/>
    <tableColumn id="5" xr3:uid="{00000000-0010-0000-0000-000005000000}" name="Source" dataDxfId="10"/>
    <tableColumn id="10" xr3:uid="{00000000-0010-0000-0000-00000A000000}" name="numerator" dataDxfId="9"/>
    <tableColumn id="11" xr3:uid="{00000000-0010-0000-0000-00000B000000}" name="denominator" dataDxfId="8"/>
    <tableColumn id="6" xr3:uid="{00000000-0010-0000-0000-000006000000}" name="Function" dataDxfId="7"/>
    <tableColumn id="16" xr3:uid="{00000000-0010-0000-0000-000010000000}" name="Augment" dataDxfId="6"/>
    <tableColumn id="25" xr3:uid="{00000000-0010-0000-0000-000019000000}" name="Units" dataDxfId="5"/>
    <tableColumn id="19" xr3:uid="{00000000-0010-0000-0000-000013000000}" name="NAICS" dataDxfId="4"/>
    <tableColumn id="20" xr3:uid="{00000000-0010-0000-0000-000014000000}" name="rate" dataDxfId="3"/>
    <tableColumn id="7" xr3:uid="{00000000-0010-0000-0000-000007000000}" name="notes" dataDxfId="2"/>
    <tableColumn id="13" xr3:uid="{00000000-0010-0000-0000-00000D000000}" name="label_2019" dataDxfId="1"/>
    <tableColumn id="18" xr3:uid="{00000000-0010-0000-0000-000012000000}" name="label_long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7" totalsRowShown="0">
  <autoFilter ref="A1:I7" xr:uid="{00000000-0009-0000-0100-000002000000}"/>
  <tableColumns count="9">
    <tableColumn id="4" xr3:uid="{00000000-0010-0000-0100-000004000000}" name="idx"/>
    <tableColumn id="1" xr3:uid="{00000000-0010-0000-0100-000001000000}" name="label"/>
    <tableColumn id="2" xr3:uid="{00000000-0010-0000-0100-000002000000}" name="year_ref"/>
    <tableColumn id="3" xr3:uid="{00000000-0010-0000-0100-000003000000}" name="notes"/>
    <tableColumn id="5" xr3:uid="{00000000-0010-0000-0100-000005000000}" name="year_2020"/>
    <tableColumn id="6" xr3:uid="{00000000-0010-0000-0100-000006000000}" name="year_2021"/>
    <tableColumn id="7" xr3:uid="{4AB60F2F-366A-4F81-BF35-7CDA6AFF5439}" name="year_2022"/>
    <tableColumn id="8" xr3:uid="{E637A3B3-5598-4228-8F9E-763E61A4E170}" name="year_2023"/>
    <tableColumn id="9" xr3:uid="{B8AE6A52-576F-493B-A1A0-7CBE082A7698}" name="year_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zoomScaleNormal="100" workbookViewId="0">
      <pane xSplit="7" ySplit="1" topLeftCell="H2" activePane="bottomRight" state="frozen"/>
      <selection pane="topRight" activeCell="E1" sqref="E1"/>
      <selection pane="bottomLeft" activeCell="A2" sqref="A2"/>
      <selection pane="bottomRight" activeCell="B2" sqref="B2:B23"/>
    </sheetView>
  </sheetViews>
  <sheetFormatPr defaultRowHeight="15" x14ac:dyDescent="0.25"/>
  <cols>
    <col min="1" max="2" width="16.85546875" customWidth="1"/>
    <col min="3" max="3" width="22.140625" customWidth="1"/>
    <col min="4" max="4" width="18.42578125" customWidth="1"/>
    <col min="5" max="5" width="15.7109375" customWidth="1"/>
    <col min="6" max="6" width="19.7109375" bestFit="1" customWidth="1"/>
    <col min="7" max="7" width="24" customWidth="1"/>
    <col min="8" max="9" width="19.7109375" customWidth="1"/>
    <col min="10" max="10" width="27.42578125" customWidth="1"/>
    <col min="11" max="11" width="31.42578125" customWidth="1"/>
    <col min="12" max="12" width="22.42578125" customWidth="1"/>
    <col min="13" max="13" width="24.85546875" customWidth="1"/>
    <col min="17" max="17" width="24.28515625" customWidth="1"/>
    <col min="18" max="18" width="23.5703125" customWidth="1"/>
    <col min="19" max="19" width="20.28515625" customWidth="1"/>
  </cols>
  <sheetData>
    <row r="1" spans="1:19" x14ac:dyDescent="0.25">
      <c r="A1" s="3" t="s">
        <v>124</v>
      </c>
      <c r="B1" s="3" t="s">
        <v>196</v>
      </c>
      <c r="C1" s="3" t="s">
        <v>148</v>
      </c>
      <c r="D1" s="3" t="s">
        <v>125</v>
      </c>
      <c r="E1" s="4" t="s">
        <v>126</v>
      </c>
      <c r="F1" s="7" t="s">
        <v>123</v>
      </c>
      <c r="G1" s="5" t="s">
        <v>81</v>
      </c>
      <c r="H1" s="5" t="s">
        <v>135</v>
      </c>
      <c r="I1" s="5" t="s">
        <v>100</v>
      </c>
      <c r="J1" s="4" t="s">
        <v>15</v>
      </c>
      <c r="K1" s="4" t="s">
        <v>16</v>
      </c>
      <c r="L1" s="4" t="s">
        <v>94</v>
      </c>
      <c r="M1" s="4" t="s">
        <v>51</v>
      </c>
      <c r="N1" s="4" t="s">
        <v>73</v>
      </c>
      <c r="O1" s="4" t="s">
        <v>55</v>
      </c>
      <c r="P1" s="4" t="s">
        <v>57</v>
      </c>
      <c r="Q1" s="4" t="s">
        <v>104</v>
      </c>
      <c r="R1" s="4" t="s">
        <v>172</v>
      </c>
      <c r="S1" s="4" t="s">
        <v>173</v>
      </c>
    </row>
    <row r="2" spans="1:19" x14ac:dyDescent="0.25">
      <c r="A2" s="5">
        <v>21</v>
      </c>
      <c r="B2" s="5">
        <v>1</v>
      </c>
      <c r="C2" s="5">
        <v>1</v>
      </c>
      <c r="D2" s="5">
        <v>12</v>
      </c>
      <c r="E2" s="5">
        <v>9</v>
      </c>
      <c r="F2" t="s">
        <v>8</v>
      </c>
      <c r="G2" s="8" t="s">
        <v>147</v>
      </c>
      <c r="H2" s="8" t="s">
        <v>129</v>
      </c>
      <c r="I2" s="5" t="s">
        <v>101</v>
      </c>
      <c r="J2" s="8" t="s">
        <v>17</v>
      </c>
      <c r="K2" s="8" t="s">
        <v>18</v>
      </c>
      <c r="L2" s="5" t="s">
        <v>113</v>
      </c>
      <c r="M2" s="5" t="s">
        <v>171</v>
      </c>
      <c r="N2" s="5" t="s">
        <v>77</v>
      </c>
      <c r="O2" s="5"/>
      <c r="P2" s="5"/>
      <c r="Q2" s="5"/>
      <c r="R2" s="5" t="s">
        <v>8</v>
      </c>
      <c r="S2" s="5"/>
    </row>
    <row r="3" spans="1:19" x14ac:dyDescent="0.25">
      <c r="A3" s="5">
        <v>5</v>
      </c>
      <c r="B3" s="5">
        <v>2</v>
      </c>
      <c r="C3" s="5">
        <v>2</v>
      </c>
      <c r="D3" s="5">
        <v>10</v>
      </c>
      <c r="E3" s="5">
        <v>10</v>
      </c>
      <c r="F3" t="s">
        <v>9</v>
      </c>
      <c r="G3" s="8" t="s">
        <v>149</v>
      </c>
      <c r="H3" s="8" t="s">
        <v>127</v>
      </c>
      <c r="I3" s="5" t="s">
        <v>101</v>
      </c>
      <c r="J3" s="8" t="s">
        <v>19</v>
      </c>
      <c r="K3" s="9" t="s">
        <v>18</v>
      </c>
      <c r="L3" s="5" t="s">
        <v>113</v>
      </c>
      <c r="M3" s="10"/>
      <c r="N3" s="10" t="s">
        <v>77</v>
      </c>
      <c r="O3" s="10"/>
      <c r="P3" s="10"/>
      <c r="Q3" s="10"/>
      <c r="R3" s="10" t="s">
        <v>142</v>
      </c>
      <c r="S3" s="5"/>
    </row>
    <row r="4" spans="1:19" x14ac:dyDescent="0.25">
      <c r="A4" s="5">
        <v>1</v>
      </c>
      <c r="B4" s="5">
        <v>3</v>
      </c>
      <c r="C4" s="5">
        <v>3</v>
      </c>
      <c r="D4" s="5">
        <v>2</v>
      </c>
      <c r="E4" s="5">
        <v>3</v>
      </c>
      <c r="F4" t="s">
        <v>3</v>
      </c>
      <c r="G4" s="8" t="s">
        <v>150</v>
      </c>
      <c r="H4" s="8" t="s">
        <v>165</v>
      </c>
      <c r="I4" s="5" t="s">
        <v>101</v>
      </c>
      <c r="J4" s="8" t="s">
        <v>80</v>
      </c>
      <c r="K4" s="8" t="s">
        <v>36</v>
      </c>
      <c r="L4" s="5" t="s">
        <v>113</v>
      </c>
      <c r="M4" s="5" t="s">
        <v>171</v>
      </c>
      <c r="N4" s="5" t="s">
        <v>77</v>
      </c>
      <c r="O4" s="5"/>
      <c r="P4" s="5"/>
      <c r="Q4" s="5"/>
      <c r="R4" s="5" t="s">
        <v>141</v>
      </c>
      <c r="S4" s="5"/>
    </row>
    <row r="5" spans="1:19" x14ac:dyDescent="0.25">
      <c r="A5" s="5">
        <v>6</v>
      </c>
      <c r="B5" s="5">
        <v>4</v>
      </c>
      <c r="C5" s="5">
        <v>4</v>
      </c>
      <c r="D5" s="5">
        <v>6</v>
      </c>
      <c r="E5" s="5">
        <v>13</v>
      </c>
      <c r="F5" t="s">
        <v>12</v>
      </c>
      <c r="G5" s="8" t="s">
        <v>151</v>
      </c>
      <c r="H5" s="8" t="s">
        <v>12</v>
      </c>
      <c r="I5" s="5" t="s">
        <v>101</v>
      </c>
      <c r="J5" s="8" t="s">
        <v>21</v>
      </c>
      <c r="K5" s="8" t="s">
        <v>20</v>
      </c>
      <c r="L5" s="5" t="s">
        <v>113</v>
      </c>
      <c r="M5" s="5" t="s">
        <v>171</v>
      </c>
      <c r="N5" s="5" t="s">
        <v>77</v>
      </c>
      <c r="O5" s="5"/>
      <c r="P5" s="5"/>
      <c r="Q5" s="5"/>
      <c r="R5" s="5" t="s">
        <v>84</v>
      </c>
      <c r="S5" s="5"/>
    </row>
    <row r="6" spans="1:19" x14ac:dyDescent="0.25">
      <c r="A6" s="5">
        <v>7</v>
      </c>
      <c r="B6" s="5">
        <v>5</v>
      </c>
      <c r="C6" s="5">
        <v>5</v>
      </c>
      <c r="D6" s="5">
        <v>1</v>
      </c>
      <c r="E6" s="5">
        <v>1</v>
      </c>
      <c r="F6" t="s">
        <v>0</v>
      </c>
      <c r="G6" s="8" t="s">
        <v>152</v>
      </c>
      <c r="H6" s="8" t="s">
        <v>164</v>
      </c>
      <c r="I6" s="5" t="s">
        <v>101</v>
      </c>
      <c r="J6" s="9" t="s">
        <v>186</v>
      </c>
      <c r="K6" s="8" t="s">
        <v>23</v>
      </c>
      <c r="L6" s="5" t="s">
        <v>113</v>
      </c>
      <c r="M6" s="5" t="s">
        <v>171</v>
      </c>
      <c r="N6" s="5" t="s">
        <v>77</v>
      </c>
      <c r="O6" s="5"/>
      <c r="P6" s="5"/>
      <c r="Q6" s="5"/>
      <c r="R6" s="5" t="s">
        <v>85</v>
      </c>
      <c r="S6" s="5"/>
    </row>
    <row r="7" spans="1:19" x14ac:dyDescent="0.25">
      <c r="A7" s="5">
        <v>3</v>
      </c>
      <c r="B7" s="5">
        <v>6</v>
      </c>
      <c r="C7" s="5">
        <v>6</v>
      </c>
      <c r="D7" s="5">
        <v>3</v>
      </c>
      <c r="E7" s="5">
        <v>2</v>
      </c>
      <c r="F7" t="s">
        <v>2</v>
      </c>
      <c r="G7" s="8" t="s">
        <v>153</v>
      </c>
      <c r="H7" s="8" t="s">
        <v>2</v>
      </c>
      <c r="I7" s="5" t="s">
        <v>101</v>
      </c>
      <c r="J7" s="8" t="s">
        <v>50</v>
      </c>
      <c r="K7" s="8" t="s">
        <v>49</v>
      </c>
      <c r="L7" s="5" t="s">
        <v>113</v>
      </c>
      <c r="M7" s="5" t="s">
        <v>171</v>
      </c>
      <c r="N7" s="5" t="s">
        <v>77</v>
      </c>
      <c r="O7" s="5"/>
      <c r="P7" s="5"/>
      <c r="Q7" s="5"/>
      <c r="R7" s="5" t="s">
        <v>2</v>
      </c>
      <c r="S7" s="5"/>
    </row>
    <row r="8" spans="1:19" x14ac:dyDescent="0.25">
      <c r="A8" s="5">
        <v>4</v>
      </c>
      <c r="B8" s="5">
        <v>7</v>
      </c>
      <c r="C8" s="5">
        <v>7</v>
      </c>
      <c r="D8" s="5">
        <v>4</v>
      </c>
      <c r="E8" s="5">
        <v>7</v>
      </c>
      <c r="F8" t="s">
        <v>6</v>
      </c>
      <c r="G8" s="8" t="s">
        <v>154</v>
      </c>
      <c r="H8" s="8" t="s">
        <v>166</v>
      </c>
      <c r="I8" s="5" t="s">
        <v>101</v>
      </c>
      <c r="J8" s="8" t="s">
        <v>48</v>
      </c>
      <c r="K8" s="8" t="s">
        <v>47</v>
      </c>
      <c r="L8" s="5" t="s">
        <v>113</v>
      </c>
      <c r="M8" s="5" t="s">
        <v>171</v>
      </c>
      <c r="N8" s="5" t="s">
        <v>77</v>
      </c>
      <c r="O8" s="5"/>
      <c r="P8" s="5"/>
      <c r="Q8" s="5"/>
      <c r="R8" s="5" t="s">
        <v>83</v>
      </c>
      <c r="S8" s="5"/>
    </row>
    <row r="9" spans="1:19" x14ac:dyDescent="0.25">
      <c r="A9" s="5">
        <v>11</v>
      </c>
      <c r="B9" s="5">
        <v>8</v>
      </c>
      <c r="C9" s="5">
        <v>8</v>
      </c>
      <c r="D9" s="5">
        <v>11</v>
      </c>
      <c r="E9" s="5">
        <v>11</v>
      </c>
      <c r="F9" t="s">
        <v>10</v>
      </c>
      <c r="G9" s="8" t="s">
        <v>87</v>
      </c>
      <c r="H9" s="8" t="s">
        <v>128</v>
      </c>
      <c r="I9" s="5" t="s">
        <v>101</v>
      </c>
      <c r="J9" s="8" t="s">
        <v>146</v>
      </c>
      <c r="K9" s="8" t="s">
        <v>145</v>
      </c>
      <c r="L9" s="5" t="s">
        <v>113</v>
      </c>
      <c r="M9" s="5" t="s">
        <v>171</v>
      </c>
      <c r="N9" s="5" t="s">
        <v>77</v>
      </c>
      <c r="O9" s="5"/>
      <c r="P9" s="5"/>
      <c r="Q9" s="5"/>
      <c r="R9" s="5" t="s">
        <v>87</v>
      </c>
      <c r="S9" s="5"/>
    </row>
    <row r="10" spans="1:19" x14ac:dyDescent="0.25">
      <c r="A10" s="5">
        <v>15</v>
      </c>
      <c r="B10" s="5">
        <v>9</v>
      </c>
      <c r="C10" s="5">
        <v>9</v>
      </c>
      <c r="D10" s="5">
        <v>24</v>
      </c>
      <c r="E10" s="5"/>
      <c r="F10" t="s">
        <v>90</v>
      </c>
      <c r="G10" s="8" t="s">
        <v>155</v>
      </c>
      <c r="H10" s="8" t="s">
        <v>170</v>
      </c>
      <c r="I10" s="5" t="s">
        <v>101</v>
      </c>
      <c r="J10" s="8" t="s">
        <v>111</v>
      </c>
      <c r="K10" s="8" t="s">
        <v>112</v>
      </c>
      <c r="L10" s="5" t="s">
        <v>136</v>
      </c>
      <c r="M10" s="5" t="s">
        <v>171</v>
      </c>
      <c r="N10" s="5" t="s">
        <v>77</v>
      </c>
      <c r="O10" s="5"/>
      <c r="P10" s="5"/>
      <c r="Q10" s="5"/>
      <c r="R10" s="5" t="s">
        <v>90</v>
      </c>
      <c r="S10" s="5"/>
    </row>
    <row r="11" spans="1:19" x14ac:dyDescent="0.25">
      <c r="A11" s="5">
        <v>12</v>
      </c>
      <c r="B11" s="5">
        <v>10</v>
      </c>
      <c r="C11" s="5">
        <v>10</v>
      </c>
      <c r="D11" s="5">
        <v>21</v>
      </c>
      <c r="E11" s="5"/>
      <c r="F11" t="s">
        <v>99</v>
      </c>
      <c r="G11" s="8" t="s">
        <v>134</v>
      </c>
      <c r="H11" s="8" t="s">
        <v>134</v>
      </c>
      <c r="I11" s="5" t="s">
        <v>103</v>
      </c>
      <c r="J11" s="8" t="s">
        <v>108</v>
      </c>
      <c r="K11" s="8" t="s">
        <v>109</v>
      </c>
      <c r="L11" s="5" t="s">
        <v>113</v>
      </c>
      <c r="M11" s="5" t="s">
        <v>171</v>
      </c>
      <c r="N11" s="5" t="s">
        <v>77</v>
      </c>
      <c r="O11" s="5"/>
      <c r="P11" s="5"/>
      <c r="Q11" s="5"/>
      <c r="R11" s="5" t="s">
        <v>88</v>
      </c>
      <c r="S11" s="5"/>
    </row>
    <row r="12" spans="1:19" x14ac:dyDescent="0.25">
      <c r="A12" s="5">
        <v>17</v>
      </c>
      <c r="B12" s="5">
        <v>11</v>
      </c>
      <c r="C12" s="5">
        <v>11</v>
      </c>
      <c r="D12" s="5">
        <v>19</v>
      </c>
      <c r="E12" s="5">
        <v>14</v>
      </c>
      <c r="F12" t="s">
        <v>53</v>
      </c>
      <c r="G12" s="8" t="s">
        <v>156</v>
      </c>
      <c r="H12" s="8" t="s">
        <v>156</v>
      </c>
      <c r="I12" s="5" t="s">
        <v>102</v>
      </c>
      <c r="J12" s="8">
        <v>813410</v>
      </c>
      <c r="K12" s="8" t="s">
        <v>23</v>
      </c>
      <c r="L12" s="5" t="s">
        <v>115</v>
      </c>
      <c r="M12" s="5"/>
      <c r="N12" s="5" t="s">
        <v>79</v>
      </c>
      <c r="O12" s="5">
        <v>8134</v>
      </c>
      <c r="P12" s="5">
        <v>10</v>
      </c>
      <c r="Q12" s="5" t="s">
        <v>139</v>
      </c>
      <c r="R12" s="5" t="s">
        <v>53</v>
      </c>
      <c r="S12" s="5" t="s">
        <v>54</v>
      </c>
    </row>
    <row r="13" spans="1:19" x14ac:dyDescent="0.25">
      <c r="A13" s="5">
        <v>22</v>
      </c>
      <c r="B13" s="5">
        <v>12</v>
      </c>
      <c r="C13" s="5">
        <v>12</v>
      </c>
      <c r="D13" s="5">
        <v>20</v>
      </c>
      <c r="E13" s="5">
        <v>19</v>
      </c>
      <c r="F13" t="s">
        <v>63</v>
      </c>
      <c r="G13" s="8" t="s">
        <v>63</v>
      </c>
      <c r="H13" s="8" t="s">
        <v>63</v>
      </c>
      <c r="I13" s="5" t="s">
        <v>107</v>
      </c>
      <c r="J13" s="8" t="s">
        <v>174</v>
      </c>
      <c r="K13" s="8" t="s">
        <v>23</v>
      </c>
      <c r="L13" s="5" t="s">
        <v>118</v>
      </c>
      <c r="M13" s="5"/>
      <c r="N13" s="5" t="s">
        <v>77</v>
      </c>
      <c r="O13" s="5"/>
      <c r="P13" s="5"/>
      <c r="Q13" s="5"/>
      <c r="R13" s="5" t="s">
        <v>63</v>
      </c>
      <c r="S13" s="5"/>
    </row>
    <row r="14" spans="1:19" x14ac:dyDescent="0.25">
      <c r="A14" s="5">
        <v>20</v>
      </c>
      <c r="B14" s="5">
        <v>13</v>
      </c>
      <c r="C14" s="5">
        <v>13</v>
      </c>
      <c r="D14" s="5">
        <v>18</v>
      </c>
      <c r="E14" s="5">
        <v>17</v>
      </c>
      <c r="F14" t="s">
        <v>60</v>
      </c>
      <c r="G14" s="8" t="s">
        <v>157</v>
      </c>
      <c r="H14" s="8" t="s">
        <v>168</v>
      </c>
      <c r="I14" s="5" t="s">
        <v>106</v>
      </c>
      <c r="J14" s="8" t="s">
        <v>110</v>
      </c>
      <c r="K14" s="8" t="s">
        <v>107</v>
      </c>
      <c r="L14" s="5" t="s">
        <v>136</v>
      </c>
      <c r="M14" s="5" t="s">
        <v>171</v>
      </c>
      <c r="N14" s="13" t="s">
        <v>77</v>
      </c>
      <c r="O14" s="5"/>
      <c r="P14" s="5"/>
      <c r="Q14" s="5" t="s">
        <v>105</v>
      </c>
      <c r="R14" s="5" t="s">
        <v>144</v>
      </c>
      <c r="S14" s="5" t="s">
        <v>61</v>
      </c>
    </row>
    <row r="15" spans="1:19" x14ac:dyDescent="0.25">
      <c r="A15" s="5">
        <v>2</v>
      </c>
      <c r="B15" s="5">
        <v>14</v>
      </c>
      <c r="C15" s="5">
        <v>14</v>
      </c>
      <c r="D15" s="5">
        <v>7</v>
      </c>
      <c r="E15" s="5">
        <v>4</v>
      </c>
      <c r="F15" t="s">
        <v>4</v>
      </c>
      <c r="G15" s="8" t="s">
        <v>158</v>
      </c>
      <c r="H15" s="8" t="s">
        <v>82</v>
      </c>
      <c r="I15" s="5" t="s">
        <v>101</v>
      </c>
      <c r="J15" s="8" t="s">
        <v>121</v>
      </c>
      <c r="K15" s="8" t="s">
        <v>122</v>
      </c>
      <c r="L15" s="5" t="s">
        <v>113</v>
      </c>
      <c r="M15" s="5" t="s">
        <v>171</v>
      </c>
      <c r="N15" s="5" t="s">
        <v>77</v>
      </c>
      <c r="O15" s="5"/>
      <c r="P15" s="5"/>
      <c r="Q15" s="5" t="s">
        <v>120</v>
      </c>
      <c r="R15" s="5" t="s">
        <v>82</v>
      </c>
      <c r="S15" s="5"/>
    </row>
    <row r="16" spans="1:19" x14ac:dyDescent="0.25">
      <c r="A16" s="5">
        <v>13</v>
      </c>
      <c r="B16" s="5">
        <v>15</v>
      </c>
      <c r="C16" s="5">
        <v>15</v>
      </c>
      <c r="D16" s="5">
        <v>22</v>
      </c>
      <c r="E16" s="5"/>
      <c r="F16" t="s">
        <v>137</v>
      </c>
      <c r="G16" s="8" t="s">
        <v>137</v>
      </c>
      <c r="H16" s="8" t="s">
        <v>137</v>
      </c>
      <c r="I16" s="5" t="s">
        <v>101</v>
      </c>
      <c r="J16" s="8" t="s">
        <v>95</v>
      </c>
      <c r="K16" s="8" t="s">
        <v>96</v>
      </c>
      <c r="L16" s="5" t="s">
        <v>136</v>
      </c>
      <c r="M16" s="5" t="s">
        <v>171</v>
      </c>
      <c r="N16" s="5" t="s">
        <v>77</v>
      </c>
      <c r="O16" s="5"/>
      <c r="P16" s="5"/>
      <c r="Q16" s="5" t="s">
        <v>138</v>
      </c>
      <c r="R16" s="5" t="s">
        <v>119</v>
      </c>
      <c r="S16" s="5"/>
    </row>
    <row r="17" spans="1:19" x14ac:dyDescent="0.25">
      <c r="A17" s="5">
        <v>8</v>
      </c>
      <c r="B17" s="5">
        <v>16</v>
      </c>
      <c r="C17" s="5">
        <v>16</v>
      </c>
      <c r="D17" s="5">
        <v>8</v>
      </c>
      <c r="E17" s="5">
        <v>8</v>
      </c>
      <c r="F17" t="s">
        <v>7</v>
      </c>
      <c r="G17" s="8" t="s">
        <v>159</v>
      </c>
      <c r="H17" s="8" t="s">
        <v>68</v>
      </c>
      <c r="I17" s="5" t="s">
        <v>101</v>
      </c>
      <c r="J17" s="8" t="s">
        <v>52</v>
      </c>
      <c r="K17" s="8">
        <v>1</v>
      </c>
      <c r="L17" s="5" t="s">
        <v>113</v>
      </c>
      <c r="M17" s="5"/>
      <c r="N17" s="5" t="s">
        <v>78</v>
      </c>
      <c r="O17" s="5"/>
      <c r="P17" s="5"/>
      <c r="Q17" s="5"/>
      <c r="R17" s="5" t="s">
        <v>68</v>
      </c>
      <c r="S17" s="5"/>
    </row>
    <row r="18" spans="1:19" x14ac:dyDescent="0.25">
      <c r="A18" s="5">
        <v>9</v>
      </c>
      <c r="B18" s="5">
        <v>17</v>
      </c>
      <c r="C18" s="5">
        <v>17</v>
      </c>
      <c r="D18" s="5">
        <v>9</v>
      </c>
      <c r="E18" s="5">
        <v>5</v>
      </c>
      <c r="F18" t="s">
        <v>5</v>
      </c>
      <c r="G18" s="8" t="s">
        <v>69</v>
      </c>
      <c r="H18" s="8" t="s">
        <v>69</v>
      </c>
      <c r="I18" s="5" t="s">
        <v>101</v>
      </c>
      <c r="J18" s="8" t="s">
        <v>22</v>
      </c>
      <c r="K18" s="8">
        <v>1</v>
      </c>
      <c r="L18" s="5" t="s">
        <v>113</v>
      </c>
      <c r="M18" s="5" t="s">
        <v>171</v>
      </c>
      <c r="N18" s="5" t="s">
        <v>76</v>
      </c>
      <c r="O18" s="5"/>
      <c r="P18" s="5"/>
      <c r="Q18" s="5"/>
      <c r="R18" s="5" t="s">
        <v>69</v>
      </c>
      <c r="S18" s="5"/>
    </row>
    <row r="19" spans="1:19" x14ac:dyDescent="0.25">
      <c r="A19" s="5">
        <v>14</v>
      </c>
      <c r="B19" s="5">
        <v>18</v>
      </c>
      <c r="C19" s="5">
        <v>18</v>
      </c>
      <c r="D19" s="5">
        <v>23</v>
      </c>
      <c r="E19" s="5"/>
      <c r="F19" t="s">
        <v>89</v>
      </c>
      <c r="G19" s="8" t="s">
        <v>160</v>
      </c>
      <c r="H19" s="8" t="s">
        <v>169</v>
      </c>
      <c r="I19" s="5" t="s">
        <v>101</v>
      </c>
      <c r="J19" s="8" t="s">
        <v>92</v>
      </c>
      <c r="K19" s="8" t="s">
        <v>93</v>
      </c>
      <c r="L19" s="5" t="s">
        <v>114</v>
      </c>
      <c r="M19" s="5" t="s">
        <v>171</v>
      </c>
      <c r="N19" s="5" t="s">
        <v>77</v>
      </c>
      <c r="O19" s="5"/>
      <c r="P19" s="5"/>
      <c r="Q19" s="5" t="s">
        <v>143</v>
      </c>
      <c r="R19" s="5" t="s">
        <v>89</v>
      </c>
      <c r="S19" s="5"/>
    </row>
    <row r="20" spans="1:19" x14ac:dyDescent="0.25">
      <c r="A20" s="5">
        <v>16</v>
      </c>
      <c r="B20" s="5">
        <v>19</v>
      </c>
      <c r="C20" s="5">
        <v>19</v>
      </c>
      <c r="D20" s="5">
        <v>25</v>
      </c>
      <c r="E20" s="5"/>
      <c r="F20" t="s">
        <v>91</v>
      </c>
      <c r="G20" s="8" t="s">
        <v>161</v>
      </c>
      <c r="H20" s="8" t="s">
        <v>91</v>
      </c>
      <c r="I20" s="5" t="s">
        <v>101</v>
      </c>
      <c r="J20" s="8" t="s">
        <v>98</v>
      </c>
      <c r="K20" s="8" t="s">
        <v>97</v>
      </c>
      <c r="L20" s="5" t="s">
        <v>113</v>
      </c>
      <c r="M20" s="5" t="s">
        <v>171</v>
      </c>
      <c r="N20" s="5" t="s">
        <v>77</v>
      </c>
      <c r="O20" s="5"/>
      <c r="P20" s="5"/>
      <c r="Q20" s="5"/>
      <c r="R20" s="5" t="s">
        <v>91</v>
      </c>
      <c r="S20" s="5"/>
    </row>
    <row r="21" spans="1:19" x14ac:dyDescent="0.25">
      <c r="A21" s="5">
        <v>18</v>
      </c>
      <c r="B21" s="5">
        <v>20</v>
      </c>
      <c r="C21" s="5">
        <v>20</v>
      </c>
      <c r="D21" s="5">
        <v>15</v>
      </c>
      <c r="E21" s="5">
        <v>15</v>
      </c>
      <c r="F21" t="s">
        <v>70</v>
      </c>
      <c r="G21" s="8" t="s">
        <v>162</v>
      </c>
      <c r="H21" s="8" t="s">
        <v>162</v>
      </c>
      <c r="I21" s="5" t="s">
        <v>102</v>
      </c>
      <c r="J21" s="8">
        <v>622110</v>
      </c>
      <c r="K21" s="8" t="s">
        <v>23</v>
      </c>
      <c r="L21" s="5" t="s">
        <v>115</v>
      </c>
      <c r="M21" s="5"/>
      <c r="N21" s="5" t="s">
        <v>79</v>
      </c>
      <c r="O21" s="5">
        <v>622110</v>
      </c>
      <c r="P21" s="5">
        <v>10</v>
      </c>
      <c r="Q21" s="5" t="s">
        <v>140</v>
      </c>
      <c r="R21" s="5" t="s">
        <v>70</v>
      </c>
      <c r="S21" s="5" t="s">
        <v>56</v>
      </c>
    </row>
    <row r="22" spans="1:19" x14ac:dyDescent="0.25">
      <c r="A22" s="5">
        <v>19</v>
      </c>
      <c r="B22" s="5">
        <v>21</v>
      </c>
      <c r="C22" s="5">
        <v>21</v>
      </c>
      <c r="D22" s="5">
        <v>14</v>
      </c>
      <c r="E22" s="5">
        <v>16</v>
      </c>
      <c r="F22" t="s">
        <v>58</v>
      </c>
      <c r="G22" s="8" t="s">
        <v>131</v>
      </c>
      <c r="H22" s="8" t="s">
        <v>131</v>
      </c>
      <c r="I22" s="5" t="s">
        <v>101</v>
      </c>
      <c r="J22" s="8" t="s">
        <v>67</v>
      </c>
      <c r="K22" s="8" t="s">
        <v>23</v>
      </c>
      <c r="L22" s="5" t="s">
        <v>115</v>
      </c>
      <c r="M22" s="5"/>
      <c r="N22" s="5" t="s">
        <v>79</v>
      </c>
      <c r="O22" s="5"/>
      <c r="P22" s="5">
        <v>1</v>
      </c>
      <c r="Q22" s="5"/>
      <c r="R22" s="5" t="s">
        <v>58</v>
      </c>
      <c r="S22" s="5" t="s">
        <v>59</v>
      </c>
    </row>
    <row r="23" spans="1:19" x14ac:dyDescent="0.25">
      <c r="A23" s="5">
        <v>10</v>
      </c>
      <c r="B23" s="5">
        <v>22</v>
      </c>
      <c r="C23" s="5">
        <v>22</v>
      </c>
      <c r="D23" s="5">
        <v>5</v>
      </c>
      <c r="E23" s="5">
        <v>6</v>
      </c>
      <c r="F23" t="s">
        <v>72</v>
      </c>
      <c r="G23" s="8" t="s">
        <v>163</v>
      </c>
      <c r="H23" s="8" t="s">
        <v>167</v>
      </c>
      <c r="I23" s="5" t="s">
        <v>101</v>
      </c>
      <c r="J23" s="8" t="s">
        <v>116</v>
      </c>
      <c r="K23" s="8" t="s">
        <v>117</v>
      </c>
      <c r="L23" s="5" t="s">
        <v>113</v>
      </c>
      <c r="M23" s="5" t="s">
        <v>171</v>
      </c>
      <c r="N23" s="5" t="s">
        <v>77</v>
      </c>
      <c r="O23" s="5"/>
      <c r="P23" s="5"/>
      <c r="Q23" s="5"/>
      <c r="R23" s="5" t="s">
        <v>86</v>
      </c>
      <c r="S23" s="5"/>
    </row>
    <row r="24" spans="1:19" x14ac:dyDescent="0.25">
      <c r="A24" s="14"/>
      <c r="B24" s="14"/>
      <c r="C24" s="14">
        <v>22</v>
      </c>
      <c r="D24" s="5"/>
      <c r="E24" s="14"/>
      <c r="F24" s="15" t="s">
        <v>191</v>
      </c>
      <c r="G24" s="15" t="s">
        <v>192</v>
      </c>
      <c r="H24" s="16" t="s">
        <v>193</v>
      </c>
      <c r="I24" s="3" t="s">
        <v>101</v>
      </c>
      <c r="J24" s="8" t="s">
        <v>195</v>
      </c>
      <c r="K24" s="8" t="s">
        <v>194</v>
      </c>
      <c r="L24" s="5" t="s">
        <v>113</v>
      </c>
      <c r="M24" s="5"/>
      <c r="N24" s="5" t="s">
        <v>77</v>
      </c>
      <c r="O24" s="5"/>
      <c r="P24" s="5"/>
      <c r="Q24" s="5"/>
      <c r="R24" s="5"/>
      <c r="S24" s="5"/>
    </row>
    <row r="25" spans="1:19" x14ac:dyDescent="0.25">
      <c r="A25" s="5">
        <v>4</v>
      </c>
      <c r="B25" s="5"/>
      <c r="C25" s="5"/>
      <c r="D25" s="5">
        <v>4</v>
      </c>
      <c r="E25" s="5">
        <v>7</v>
      </c>
      <c r="F25" s="11" t="s">
        <v>6</v>
      </c>
      <c r="G25" s="8" t="s">
        <v>154</v>
      </c>
      <c r="H25" s="8" t="s">
        <v>166</v>
      </c>
      <c r="I25" s="5" t="s">
        <v>101</v>
      </c>
      <c r="J25" s="8" t="s">
        <v>187</v>
      </c>
      <c r="K25" s="8" t="s">
        <v>188</v>
      </c>
      <c r="L25" s="5" t="s">
        <v>113</v>
      </c>
      <c r="M25" s="5" t="s">
        <v>171</v>
      </c>
      <c r="N25" s="5" t="s">
        <v>77</v>
      </c>
      <c r="O25" s="5"/>
      <c r="P25" s="5"/>
      <c r="Q25" s="5"/>
      <c r="R25" s="5" t="s">
        <v>83</v>
      </c>
      <c r="S25" s="5"/>
    </row>
    <row r="26" spans="1:19" x14ac:dyDescent="0.25">
      <c r="A26" s="5"/>
      <c r="B26" s="5"/>
      <c r="C26" s="5"/>
      <c r="D26" s="5"/>
      <c r="E26" s="5">
        <v>11</v>
      </c>
      <c r="F26" s="12" t="s">
        <v>10</v>
      </c>
      <c r="G26" s="8" t="s">
        <v>87</v>
      </c>
      <c r="H26" s="8" t="s">
        <v>128</v>
      </c>
      <c r="I26" s="5" t="s">
        <v>101</v>
      </c>
      <c r="J26" s="8" t="s">
        <v>74</v>
      </c>
      <c r="K26" s="8" t="s">
        <v>75</v>
      </c>
      <c r="L26" s="5" t="s">
        <v>113</v>
      </c>
      <c r="M26" s="5" t="s">
        <v>171</v>
      </c>
      <c r="N26" s="5" t="s">
        <v>77</v>
      </c>
      <c r="O26" s="5"/>
      <c r="P26" s="5"/>
      <c r="Q26" s="5"/>
      <c r="R26" s="5"/>
      <c r="S26" s="5"/>
    </row>
    <row r="27" spans="1:19" x14ac:dyDescent="0.25">
      <c r="A27" s="3"/>
      <c r="B27" s="3"/>
      <c r="C27" s="3"/>
      <c r="D27" s="3"/>
      <c r="E27" s="6">
        <v>12</v>
      </c>
      <c r="F27" s="12" t="s">
        <v>11</v>
      </c>
      <c r="G27" s="8"/>
      <c r="H27" s="8" t="s">
        <v>133</v>
      </c>
      <c r="I27" s="5"/>
      <c r="J27" s="8" t="s">
        <v>71</v>
      </c>
      <c r="K27" s="8">
        <v>1</v>
      </c>
      <c r="L27" s="5" t="s">
        <v>113</v>
      </c>
      <c r="M27" s="5"/>
      <c r="N27" s="5" t="s">
        <v>57</v>
      </c>
      <c r="O27" s="5"/>
      <c r="P27" s="5"/>
      <c r="Q27" s="5"/>
      <c r="R27" s="5"/>
      <c r="S27" s="5"/>
    </row>
    <row r="28" spans="1:19" x14ac:dyDescent="0.25">
      <c r="A28" s="3"/>
      <c r="B28" s="3"/>
      <c r="C28" s="3"/>
      <c r="D28" s="3"/>
      <c r="E28" s="6">
        <v>18</v>
      </c>
      <c r="F28" s="12" t="s">
        <v>62</v>
      </c>
      <c r="G28" s="8"/>
      <c r="H28" s="8" t="s">
        <v>130</v>
      </c>
      <c r="I28" s="5"/>
      <c r="J28" s="8" t="s">
        <v>66</v>
      </c>
      <c r="K28" s="8">
        <f>Table1[[#This Row],[rate]]*1000</f>
        <v>5000</v>
      </c>
      <c r="L28" s="5" t="s">
        <v>113</v>
      </c>
      <c r="M28" s="5"/>
      <c r="N28" s="5" t="s">
        <v>79</v>
      </c>
      <c r="O28" s="5"/>
      <c r="P28" s="5">
        <v>5</v>
      </c>
      <c r="Q28" s="5"/>
      <c r="R28" s="5"/>
      <c r="S28" s="5"/>
    </row>
    <row r="29" spans="1:19" x14ac:dyDescent="0.25">
      <c r="A29" s="3"/>
      <c r="B29" s="3"/>
      <c r="C29" s="3"/>
      <c r="D29" s="3"/>
      <c r="E29" s="6">
        <v>20</v>
      </c>
      <c r="F29" s="12" t="s">
        <v>64</v>
      </c>
      <c r="G29" s="8"/>
      <c r="H29" s="8" t="s">
        <v>132</v>
      </c>
      <c r="I29" s="5"/>
      <c r="J29" s="8" t="s">
        <v>65</v>
      </c>
      <c r="K29" s="8">
        <v>5000</v>
      </c>
      <c r="L29" s="5" t="s">
        <v>113</v>
      </c>
      <c r="M29" s="5"/>
      <c r="N29" s="5" t="s">
        <v>79</v>
      </c>
      <c r="O29" s="5" t="s">
        <v>65</v>
      </c>
      <c r="P29" s="5">
        <v>5</v>
      </c>
      <c r="Q29" s="5"/>
      <c r="R29" s="5"/>
      <c r="S29" s="5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F10" sqref="F10"/>
    </sheetView>
  </sheetViews>
  <sheetFormatPr defaultRowHeight="15" x14ac:dyDescent="0.25"/>
  <cols>
    <col min="1" max="1" width="10" bestFit="1" customWidth="1"/>
    <col min="2" max="2" width="10.5703125" customWidth="1"/>
    <col min="3" max="3" width="10.7109375" bestFit="1" customWidth="1"/>
  </cols>
  <sheetData>
    <row r="1" spans="1:9" x14ac:dyDescent="0.25">
      <c r="A1" t="s">
        <v>182</v>
      </c>
      <c r="B1" t="s">
        <v>175</v>
      </c>
      <c r="C1" t="s">
        <v>176</v>
      </c>
      <c r="D1" t="s">
        <v>104</v>
      </c>
      <c r="E1" t="s">
        <v>184</v>
      </c>
      <c r="F1" t="s">
        <v>185</v>
      </c>
      <c r="G1" t="s">
        <v>189</v>
      </c>
      <c r="H1" t="s">
        <v>190</v>
      </c>
      <c r="I1" t="s">
        <v>197</v>
      </c>
    </row>
    <row r="2" spans="1:9" x14ac:dyDescent="0.25">
      <c r="A2">
        <v>0</v>
      </c>
      <c r="B2" t="s">
        <v>177</v>
      </c>
      <c r="C2">
        <v>2023</v>
      </c>
      <c r="E2">
        <v>2020</v>
      </c>
      <c r="F2">
        <v>2021</v>
      </c>
      <c r="G2">
        <v>2021</v>
      </c>
      <c r="H2">
        <v>2022</v>
      </c>
      <c r="I2">
        <v>2023</v>
      </c>
    </row>
    <row r="3" spans="1:9" x14ac:dyDescent="0.25">
      <c r="A3">
        <v>1</v>
      </c>
      <c r="B3" t="s">
        <v>178</v>
      </c>
      <c r="C3">
        <v>2021</v>
      </c>
      <c r="E3">
        <v>2020</v>
      </c>
      <c r="F3">
        <v>2020</v>
      </c>
      <c r="G3">
        <v>2020</v>
      </c>
      <c r="H3">
        <v>2021</v>
      </c>
      <c r="I3">
        <v>2021</v>
      </c>
    </row>
    <row r="4" spans="1:9" x14ac:dyDescent="0.25">
      <c r="A4">
        <v>2</v>
      </c>
      <c r="B4" t="s">
        <v>179</v>
      </c>
      <c r="C4">
        <v>2017</v>
      </c>
      <c r="E4">
        <v>2017</v>
      </c>
      <c r="F4">
        <v>2017</v>
      </c>
      <c r="G4">
        <v>2017</v>
      </c>
      <c r="H4">
        <v>2017</v>
      </c>
      <c r="I4">
        <v>2017</v>
      </c>
    </row>
    <row r="5" spans="1:9" x14ac:dyDescent="0.25">
      <c r="A5">
        <v>3</v>
      </c>
      <c r="B5" t="s">
        <v>180</v>
      </c>
      <c r="C5">
        <v>2022</v>
      </c>
      <c r="E5">
        <v>2020</v>
      </c>
      <c r="F5">
        <v>2021</v>
      </c>
      <c r="G5">
        <v>2021</v>
      </c>
      <c r="H5">
        <v>2022</v>
      </c>
      <c r="I5">
        <v>2022</v>
      </c>
    </row>
    <row r="6" spans="1:9" x14ac:dyDescent="0.25">
      <c r="A6">
        <v>4</v>
      </c>
      <c r="B6" t="s">
        <v>181</v>
      </c>
      <c r="C6">
        <v>2023</v>
      </c>
      <c r="E6">
        <v>2020</v>
      </c>
      <c r="F6">
        <v>2021</v>
      </c>
      <c r="G6">
        <v>2021</v>
      </c>
      <c r="H6">
        <v>2022</v>
      </c>
      <c r="I6">
        <v>2023</v>
      </c>
    </row>
    <row r="7" spans="1:9" x14ac:dyDescent="0.25">
      <c r="A7">
        <v>5</v>
      </c>
      <c r="B7" t="s">
        <v>183</v>
      </c>
      <c r="C7">
        <v>2020</v>
      </c>
      <c r="E7">
        <v>2010</v>
      </c>
      <c r="F7">
        <v>2020</v>
      </c>
      <c r="G7">
        <v>2020</v>
      </c>
      <c r="H7">
        <v>2020</v>
      </c>
      <c r="I7"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F16" sqref="F16:G16"/>
    </sheetView>
  </sheetViews>
  <sheetFormatPr defaultRowHeight="15" x14ac:dyDescent="0.25"/>
  <sheetData>
    <row r="1" spans="1:7" x14ac:dyDescent="0.25">
      <c r="A1" t="s">
        <v>13</v>
      </c>
      <c r="C1" t="s">
        <v>0</v>
      </c>
      <c r="F1" t="s">
        <v>3</v>
      </c>
    </row>
    <row r="2" spans="1:7" x14ac:dyDescent="0.25">
      <c r="A2" t="s">
        <v>1</v>
      </c>
      <c r="C2" t="s">
        <v>24</v>
      </c>
      <c r="D2" t="s">
        <v>25</v>
      </c>
      <c r="E2" t="s">
        <v>42</v>
      </c>
      <c r="F2" t="s">
        <v>45</v>
      </c>
      <c r="G2" t="s">
        <v>46</v>
      </c>
    </row>
    <row r="3" spans="1:7" x14ac:dyDescent="0.25">
      <c r="A3" t="s">
        <v>14</v>
      </c>
      <c r="C3" t="s">
        <v>26</v>
      </c>
      <c r="D3" t="s">
        <v>27</v>
      </c>
      <c r="E3" t="s">
        <v>42</v>
      </c>
      <c r="F3" t="s">
        <v>38</v>
      </c>
      <c r="G3" t="s">
        <v>39</v>
      </c>
    </row>
    <row r="4" spans="1:7" x14ac:dyDescent="0.25">
      <c r="C4" t="s">
        <v>28</v>
      </c>
      <c r="D4" t="s">
        <v>29</v>
      </c>
      <c r="E4" t="s">
        <v>42</v>
      </c>
      <c r="F4" t="s">
        <v>40</v>
      </c>
      <c r="G4" t="s">
        <v>41</v>
      </c>
    </row>
    <row r="5" spans="1:7" x14ac:dyDescent="0.25">
      <c r="C5" t="s">
        <v>30</v>
      </c>
      <c r="D5" t="s">
        <v>31</v>
      </c>
      <c r="E5" t="s">
        <v>42</v>
      </c>
    </row>
    <row r="6" spans="1:7" x14ac:dyDescent="0.25">
      <c r="C6" t="s">
        <v>32</v>
      </c>
      <c r="D6" t="s">
        <v>33</v>
      </c>
      <c r="E6" t="s">
        <v>42</v>
      </c>
    </row>
    <row r="7" spans="1:7" x14ac:dyDescent="0.25">
      <c r="C7" s="2" t="s">
        <v>34</v>
      </c>
      <c r="D7" s="2" t="s">
        <v>35</v>
      </c>
      <c r="E7" t="s">
        <v>42</v>
      </c>
      <c r="F7" s="2" t="s">
        <v>34</v>
      </c>
      <c r="G7" s="2" t="s">
        <v>35</v>
      </c>
    </row>
    <row r="8" spans="1:7" x14ac:dyDescent="0.25">
      <c r="C8" t="str">
        <f>CONCATENATE(C2,C7,C3,C7,C4,C7,C5,C7,C6)</f>
        <v>S0101_C01_015E, S0101_C01_016E, S0101_C01_017E, S0101_C01_018E, S0101_C01_019E</v>
      </c>
      <c r="D8" t="str">
        <f>CONCATENATE(D2,D7,D3,D7,D4,D7,D5,D7,D6)</f>
        <v>Estimate!!Total!!Total population!!AGE!!65 to 69 years;  Estimate!!Total!!Total population!!AGE!!70 to 74 years;  Estimate!!Total!!Total population!!AGE!!75 to 79 years;  Estimate!!Total!!Total population!!AGE!!80 to 84 years;  Estimate!!Total!!Total population!!AGE!!85 years and over</v>
      </c>
      <c r="E8" t="s">
        <v>42</v>
      </c>
      <c r="F8" s="1" t="str">
        <f>CONCATENATE(F2,F7,F3,F7,F4)</f>
        <v>S1501_C01_002E, S1501_C01_007E, S1501_C01_008E</v>
      </c>
      <c r="G8" s="1" t="str">
        <f>CONCATENATE(G2,G7,G3,G7,G4)</f>
        <v>Estimate!!Total!!AGE BY EDUCATIONAL ATTAINMENT!!Population 18 to 24 years!!Less than high school graduate;  Estimate!!Total!!AGE BY EDUCATIONAL ATTAINMENT!!Population 25 years and over!!Less than 9th grade;  Estimate!!Total!!AGE BY EDUCATIONAL ATTAINMENT!!Population 25 years and over!!9th to 12th grade, no diploma</v>
      </c>
    </row>
    <row r="10" spans="1:7" x14ac:dyDescent="0.25">
      <c r="F10" t="s">
        <v>43</v>
      </c>
      <c r="G10" t="s">
        <v>44</v>
      </c>
    </row>
    <row r="11" spans="1:7" x14ac:dyDescent="0.25">
      <c r="F11" t="s">
        <v>36</v>
      </c>
      <c r="G11" t="s">
        <v>37</v>
      </c>
    </row>
    <row r="15" spans="1:7" x14ac:dyDescent="0.25">
      <c r="F15" s="2" t="s">
        <v>34</v>
      </c>
      <c r="G15" s="2" t="s">
        <v>35</v>
      </c>
    </row>
    <row r="16" spans="1:7" x14ac:dyDescent="0.25">
      <c r="F16" s="1" t="str">
        <f>CONCATENATE(F10,F15,F11)</f>
        <v>S1501_C01_001E, S1501_C01_006E</v>
      </c>
      <c r="G16" s="1" t="str">
        <f>CONCATENATE(G10,G15,G11)</f>
        <v>Estimate!!Total!!AGE BY EDUCATIONAL ATTAINMENT!!Population 18 to 24 years;  Estimate!!Total!!AGE BY EDUCATIONAL ATTAINMENT!!Population 25 years and over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7FE0E0AC30244BADCABB718184D0ED" ma:contentTypeVersion="13" ma:contentTypeDescription="Create a new document." ma:contentTypeScope="" ma:versionID="0190c41ca60ef338e9ff8283470f7445">
  <xsd:schema xmlns:xsd="http://www.w3.org/2001/XMLSchema" xmlns:xs="http://www.w3.org/2001/XMLSchema" xmlns:p="http://schemas.microsoft.com/office/2006/metadata/properties" xmlns:ns3="5a0846b3-afc8-4dbe-87c2-9b9b4046f3a6" xmlns:ns4="3e8cad3e-dff8-4e88-8ae7-12a34bb58dab" targetNamespace="http://schemas.microsoft.com/office/2006/metadata/properties" ma:root="true" ma:fieldsID="b0289c1529b07cad901c7bdb3e8145b9" ns3:_="" ns4:_="">
    <xsd:import namespace="5a0846b3-afc8-4dbe-87c2-9b9b4046f3a6"/>
    <xsd:import namespace="3e8cad3e-dff8-4e88-8ae7-12a34bb58d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846b3-afc8-4dbe-87c2-9b9b4046f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cad3e-dff8-4e88-8ae7-12a34bb58d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F5401-1C8A-4A5E-99BF-258CC0C3483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3e8cad3e-dff8-4e88-8ae7-12a34bb58dab"/>
    <ds:schemaRef ds:uri="5a0846b3-afc8-4dbe-87c2-9b9b4046f3a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E6BF9E-468C-473F-A39A-1798CF949D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4D61EE-E697-42EA-B0BE-6ED2A846D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846b3-afc8-4dbe-87c2-9b9b4046f3a6"/>
    <ds:schemaRef ds:uri="3e8cad3e-dff8-4e88-8ae7-12a34bb58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Status</vt:lpstr>
      <vt:lpstr>Years</vt:lpstr>
      <vt:lpstr>Reference</vt:lpstr>
      <vt:lpstr>Status!S0101_C01_030E</vt:lpstr>
      <vt:lpstr>Status!S2301_C02_001E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Hutchison, John K</dc:creator>
  <cp:keywords/>
  <dc:description/>
  <cp:lastModifiedBy>Hutchison, John K</cp:lastModifiedBy>
  <cp:revision/>
  <dcterms:created xsi:type="dcterms:W3CDTF">2020-12-17T19:14:34Z</dcterms:created>
  <dcterms:modified xsi:type="dcterms:W3CDTF">2025-01-09T02:44:15Z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0x0101009B7FE0E0AC30244BADCABB718184D0ED</vt:lpwstr>
  </property>
</Properties>
</file>