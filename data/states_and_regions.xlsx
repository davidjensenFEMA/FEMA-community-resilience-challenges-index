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argonnedoe-my.sharepoint.com/personal/jhutchison_anl_gov/Documents/Documents/GitHub/fema_cria/utils/"/>
    </mc:Choice>
  </mc:AlternateContent>
  <bookViews>
    <workbookView xWindow="0" yWindow="0" windowWidth="28800" windowHeight="11700"/>
  </bookViews>
  <sheets>
    <sheet name="states_and_regions" sheetId="1" r:id="rId1"/>
    <sheet name="ex" sheetId="2" r:id="rId2"/>
  </sheets>
  <calcPr calcId="0"/>
</workbook>
</file>

<file path=xl/calcChain.xml><?xml version="1.0" encoding="utf-8"?>
<calcChain xmlns="http://schemas.openxmlformats.org/spreadsheetml/2006/main">
  <c r="E2" i="1" l="1"/>
  <c r="E3" i="1"/>
  <c r="E54" i="1"/>
  <c r="E4" i="1"/>
  <c r="E5" i="1"/>
  <c r="E55" i="1"/>
  <c r="E56" i="1"/>
  <c r="E6" i="1"/>
  <c r="E57" i="1"/>
  <c r="E7" i="1"/>
  <c r="E8" i="1"/>
  <c r="E9" i="1"/>
  <c r="E10" i="1"/>
  <c r="E58" i="1"/>
  <c r="E59" i="1"/>
  <c r="E11" i="1"/>
  <c r="E12" i="1"/>
  <c r="E60" i="1"/>
  <c r="E61" i="1"/>
  <c r="E13" i="1"/>
  <c r="E14" i="1"/>
  <c r="E15" i="1"/>
  <c r="E16" i="1"/>
  <c r="E17" i="1"/>
  <c r="E18" i="1"/>
  <c r="E19" i="1"/>
  <c r="E20" i="1"/>
  <c r="E21" i="1"/>
  <c r="E62" i="1"/>
  <c r="E22" i="1"/>
  <c r="E23" i="1"/>
  <c r="E6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4" i="1"/>
  <c r="E37" i="1"/>
  <c r="E38" i="1"/>
  <c r="E39" i="1"/>
  <c r="E65" i="1"/>
  <c r="E66" i="1"/>
  <c r="E40" i="1"/>
  <c r="E53" i="1"/>
  <c r="E41" i="1"/>
  <c r="E42" i="1"/>
  <c r="E43" i="1"/>
  <c r="E44" i="1"/>
  <c r="E45" i="1"/>
  <c r="E67" i="1"/>
  <c r="E68" i="1"/>
  <c r="E69" i="1"/>
  <c r="E46" i="1"/>
  <c r="E47" i="1"/>
  <c r="E48" i="1"/>
  <c r="E49" i="1"/>
  <c r="E50" i="1"/>
  <c r="E51" i="1"/>
  <c r="E52" i="1"/>
  <c r="D2" i="1"/>
  <c r="D3" i="1"/>
  <c r="D54" i="1"/>
  <c r="D4" i="1"/>
  <c r="D5" i="1"/>
  <c r="D55" i="1"/>
  <c r="D56" i="1"/>
  <c r="D6" i="1"/>
  <c r="D57" i="1"/>
  <c r="D7" i="1"/>
  <c r="D8" i="1"/>
  <c r="D9" i="1"/>
  <c r="D10" i="1"/>
  <c r="D58" i="1"/>
  <c r="D59" i="1"/>
  <c r="D11" i="1"/>
  <c r="D12" i="1"/>
  <c r="D60" i="1"/>
  <c r="D61" i="1"/>
  <c r="D13" i="1"/>
  <c r="D14" i="1"/>
  <c r="D15" i="1"/>
  <c r="D16" i="1"/>
  <c r="D17" i="1"/>
  <c r="D18" i="1"/>
  <c r="D19" i="1"/>
  <c r="D20" i="1"/>
  <c r="D21" i="1"/>
  <c r="D62" i="1"/>
  <c r="D22" i="1"/>
  <c r="D23" i="1"/>
  <c r="D6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64" i="1"/>
  <c r="D37" i="1"/>
  <c r="D38" i="1"/>
  <c r="D39" i="1"/>
  <c r="D65" i="1"/>
  <c r="D66" i="1"/>
  <c r="D40" i="1"/>
  <c r="D53" i="1"/>
  <c r="D41" i="1"/>
  <c r="D42" i="1"/>
  <c r="D43" i="1"/>
  <c r="D44" i="1"/>
  <c r="D45" i="1"/>
  <c r="D67" i="1"/>
  <c r="D68" i="1"/>
  <c r="D69" i="1"/>
  <c r="D46" i="1"/>
  <c r="D47" i="1"/>
  <c r="D48" i="1"/>
  <c r="D49" i="1"/>
  <c r="D50" i="1"/>
  <c r="D51" i="1"/>
  <c r="D52" i="1"/>
</calcChain>
</file>

<file path=xl/sharedStrings.xml><?xml version="1.0" encoding="utf-8"?>
<sst xmlns="http://schemas.openxmlformats.org/spreadsheetml/2006/main" count="317" uniqueCount="208">
  <si>
    <t>state_name</t>
  </si>
  <si>
    <t>state_abbr</t>
  </si>
  <si>
    <t>region</t>
  </si>
  <si>
    <t>Wyoming</t>
  </si>
  <si>
    <t>WY</t>
  </si>
  <si>
    <t>Region VIII</t>
  </si>
  <si>
    <t>West Virginia</t>
  </si>
  <si>
    <t>WV</t>
  </si>
  <si>
    <t>Region III</t>
  </si>
  <si>
    <t>Wisconsin</t>
  </si>
  <si>
    <t>WI</t>
  </si>
  <si>
    <t>Region V</t>
  </si>
  <si>
    <t>Vermont</t>
  </si>
  <si>
    <t>VT</t>
  </si>
  <si>
    <t>Region I</t>
  </si>
  <si>
    <t>US Virgin Islands</t>
  </si>
  <si>
    <t>VI</t>
  </si>
  <si>
    <t>Region II</t>
  </si>
  <si>
    <t>Virginia</t>
  </si>
  <si>
    <t>VA</t>
  </si>
  <si>
    <t>Utah</t>
  </si>
  <si>
    <t>UT</t>
  </si>
  <si>
    <t>Outlying Islands</t>
  </si>
  <si>
    <t>UM</t>
  </si>
  <si>
    <t>HQ</t>
  </si>
  <si>
    <t>Texas</t>
  </si>
  <si>
    <t>TX</t>
  </si>
  <si>
    <t>Region VI</t>
  </si>
  <si>
    <t>Trust Territory</t>
  </si>
  <si>
    <t>TT</t>
  </si>
  <si>
    <t>South Dakota</t>
  </si>
  <si>
    <t>SD</t>
  </si>
  <si>
    <t>South Carolina</t>
  </si>
  <si>
    <t>SC</t>
  </si>
  <si>
    <t>Region IV</t>
  </si>
  <si>
    <t>Rhode Island</t>
  </si>
  <si>
    <t>RI</t>
  </si>
  <si>
    <t>Puerto Rico</t>
  </si>
  <si>
    <t>PR</t>
  </si>
  <si>
    <t>Pennsylvania</t>
  </si>
  <si>
    <t>PA</t>
  </si>
  <si>
    <t>Oregon</t>
  </si>
  <si>
    <t>OR</t>
  </si>
  <si>
    <t>Region X</t>
  </si>
  <si>
    <t>Ohio</t>
  </si>
  <si>
    <t>OH</t>
  </si>
  <si>
    <t>New York</t>
  </si>
  <si>
    <t>NY</t>
  </si>
  <si>
    <t>Nevada</t>
  </si>
  <si>
    <t>NV</t>
  </si>
  <si>
    <t>Region IX</t>
  </si>
  <si>
    <t>New Mexico</t>
  </si>
  <si>
    <t>NM</t>
  </si>
  <si>
    <t>New Jersey</t>
  </si>
  <si>
    <t>NJ</t>
  </si>
  <si>
    <t>New Hampshire</t>
  </si>
  <si>
    <t>NH</t>
  </si>
  <si>
    <t>Nebraska</t>
  </si>
  <si>
    <t>NE</t>
  </si>
  <si>
    <t>Region VII</t>
  </si>
  <si>
    <t>North Dakota</t>
  </si>
  <si>
    <t>ND</t>
  </si>
  <si>
    <t>North Carolina</t>
  </si>
  <si>
    <t>NC</t>
  </si>
  <si>
    <t>Montana</t>
  </si>
  <si>
    <t>MT</t>
  </si>
  <si>
    <t>Mississippi</t>
  </si>
  <si>
    <t>MS</t>
  </si>
  <si>
    <t>Northern Mariana Islands</t>
  </si>
  <si>
    <t>MP</t>
  </si>
  <si>
    <t>Missouri</t>
  </si>
  <si>
    <t>MO</t>
  </si>
  <si>
    <t>Minnesota</t>
  </si>
  <si>
    <t>MN</t>
  </si>
  <si>
    <t>Michigan</t>
  </si>
  <si>
    <t>MI</t>
  </si>
  <si>
    <t>Oklahoma</t>
  </si>
  <si>
    <t>OK</t>
  </si>
  <si>
    <t>Marshall Islands</t>
  </si>
  <si>
    <t>MH</t>
  </si>
  <si>
    <t>Maine</t>
  </si>
  <si>
    <t>ME</t>
  </si>
  <si>
    <t>Maryland</t>
  </si>
  <si>
    <t>MD</t>
  </si>
  <si>
    <t>Palau</t>
  </si>
  <si>
    <t>PW</t>
  </si>
  <si>
    <t>Massachusetts</t>
  </si>
  <si>
    <t>MA</t>
  </si>
  <si>
    <t>Louisiana</t>
  </si>
  <si>
    <t>LA</t>
  </si>
  <si>
    <t>Kentucky</t>
  </si>
  <si>
    <t>KY</t>
  </si>
  <si>
    <t>Tennessee</t>
  </si>
  <si>
    <t>TN</t>
  </si>
  <si>
    <t>Kansas</t>
  </si>
  <si>
    <t>KS</t>
  </si>
  <si>
    <t>Indiana</t>
  </si>
  <si>
    <t>IN</t>
  </si>
  <si>
    <t>Illinois</t>
  </si>
  <si>
    <t>IL</t>
  </si>
  <si>
    <t>Idaho</t>
  </si>
  <si>
    <t>ID</t>
  </si>
  <si>
    <t>Iowa</t>
  </si>
  <si>
    <t>IA</t>
  </si>
  <si>
    <t>Hawaii</t>
  </si>
  <si>
    <t>HI</t>
  </si>
  <si>
    <t>Guam</t>
  </si>
  <si>
    <t>GU</t>
  </si>
  <si>
    <t>Washington</t>
  </si>
  <si>
    <t>WA</t>
  </si>
  <si>
    <t>Georgia</t>
  </si>
  <si>
    <t>GA</t>
  </si>
  <si>
    <t>Fed States-Micronesia</t>
  </si>
  <si>
    <t>FM</t>
  </si>
  <si>
    <t>Florida</t>
  </si>
  <si>
    <t>FL</t>
  </si>
  <si>
    <t>Delaware</t>
  </si>
  <si>
    <t>DE</t>
  </si>
  <si>
    <t>District Of Columbia</t>
  </si>
  <si>
    <t>DC</t>
  </si>
  <si>
    <t>Connecticut</t>
  </si>
  <si>
    <t>CT</t>
  </si>
  <si>
    <t>Colorado</t>
  </si>
  <si>
    <t>CO</t>
  </si>
  <si>
    <t>California</t>
  </si>
  <si>
    <t>CA</t>
  </si>
  <si>
    <t>Arizona</t>
  </si>
  <si>
    <t>AZ</t>
  </si>
  <si>
    <t>American Samoa</t>
  </si>
  <si>
    <t>AS</t>
  </si>
  <si>
    <t>Arkansas</t>
  </si>
  <si>
    <t>AR</t>
  </si>
  <si>
    <t>Alabama</t>
  </si>
  <si>
    <t>AL</t>
  </si>
  <si>
    <t>Alaska</t>
  </si>
  <si>
    <t>AK</t>
  </si>
  <si>
    <t>Canada</t>
  </si>
  <si>
    <t>CN</t>
  </si>
  <si>
    <t>Haiti</t>
  </si>
  <si>
    <t>HT</t>
  </si>
  <si>
    <t>United Arab Emirates</t>
  </si>
  <si>
    <t>AE</t>
  </si>
  <si>
    <t>NA</t>
  </si>
  <si>
    <t>Bosnia and Herzegovina</t>
  </si>
  <si>
    <t>BK</t>
  </si>
  <si>
    <t>Asia/Pacific Region</t>
  </si>
  <si>
    <t>AP</t>
  </si>
  <si>
    <t>Equatorial Guinea</t>
  </si>
  <si>
    <t>GQ</t>
  </si>
  <si>
    <t>Mexico</t>
  </si>
  <si>
    <t>MX</t>
  </si>
  <si>
    <t>NAME</t>
  </si>
  <si>
    <t>GEO_ID</t>
  </si>
  <si>
    <t>state</t>
  </si>
  <si>
    <t>label</t>
  </si>
  <si>
    <t>0400000US01</t>
  </si>
  <si>
    <t>0400000US02</t>
  </si>
  <si>
    <t>0400000US04</t>
  </si>
  <si>
    <t>0400000US05</t>
  </si>
  <si>
    <t>0400000US06</t>
  </si>
  <si>
    <t>0400000US08</t>
  </si>
  <si>
    <t>0400000US10</t>
  </si>
  <si>
    <t>District of Columbia</t>
  </si>
  <si>
    <t>0400000US11</t>
  </si>
  <si>
    <t>0400000US09</t>
  </si>
  <si>
    <t>0400000US12</t>
  </si>
  <si>
    <t>0400000US13</t>
  </si>
  <si>
    <t>0400000US16</t>
  </si>
  <si>
    <t>0400000US15</t>
  </si>
  <si>
    <t>0400000US17</t>
  </si>
  <si>
    <t>0400000US18</t>
  </si>
  <si>
    <t>0400000US19</t>
  </si>
  <si>
    <t>0400000US20</t>
  </si>
  <si>
    <t>0400000US21</t>
  </si>
  <si>
    <t>0400000US22</t>
  </si>
  <si>
    <t>0400000US23</t>
  </si>
  <si>
    <t>0400000US24</t>
  </si>
  <si>
    <t>0400000US25</t>
  </si>
  <si>
    <t>0400000US26</t>
  </si>
  <si>
    <t>0400000US27</t>
  </si>
  <si>
    <t>0400000US28</t>
  </si>
  <si>
    <t>0400000US29</t>
  </si>
  <si>
    <t>0400000US30</t>
  </si>
  <si>
    <t>0400000US31</t>
  </si>
  <si>
    <t>0400000US32</t>
  </si>
  <si>
    <t>0400000US33</t>
  </si>
  <si>
    <t>0400000US34</t>
  </si>
  <si>
    <t>0400000US35</t>
  </si>
  <si>
    <t>0400000US36</t>
  </si>
  <si>
    <t>0400000US37</t>
  </si>
  <si>
    <t>0400000US38</t>
  </si>
  <si>
    <t>0400000US39</t>
  </si>
  <si>
    <t>0400000US40</t>
  </si>
  <si>
    <t>0400000US41</t>
  </si>
  <si>
    <t>0400000US42</t>
  </si>
  <si>
    <t>0400000US44</t>
  </si>
  <si>
    <t>0400000US45</t>
  </si>
  <si>
    <t>0400000US46</t>
  </si>
  <si>
    <t>0400000US47</t>
  </si>
  <si>
    <t>0400000US48</t>
  </si>
  <si>
    <t>0400000US50</t>
  </si>
  <si>
    <t>0400000US49</t>
  </si>
  <si>
    <t>0400000US51</t>
  </si>
  <si>
    <t>0400000US53</t>
  </si>
  <si>
    <t>0400000US54</t>
  </si>
  <si>
    <t>0400000US55</t>
  </si>
  <si>
    <t>0400000US56</t>
  </si>
  <si>
    <t>0400000US72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</si>
</sst>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E69" totalsRowShown="0">
  <autoFilter ref="A1:E69"/>
  <sortState ref="A2:E69">
    <sortCondition ref="D1:D69"/>
  </sortState>
  <tableColumns count="5">
    <tableColumn id="1" name="state_name"/>
    <tableColumn id="2" name="state_abbr"/>
    <tableColumn id="3" name="region"/>
    <tableColumn id="4" name="GEO_ID" dataDxfId="1">
      <calculatedColumnFormula>INDEX(Table2[],MATCH(Table1[[#This Row],[state_name]],Table2[NAME],0),3)</calculatedColumnFormula>
    </tableColumn>
    <tableColumn id="5" name="state" dataDxfId="0">
      <calculatedColumnFormula>INDEX(Table2[],MATCH(Table1[[#This Row],[state_name]],Table2[NAME],0),4)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3" totalsRowShown="0">
  <autoFilter ref="A1:D53"/>
  <tableColumns count="4">
    <tableColumn id="1" name="label"/>
    <tableColumn id="2" name="NAME"/>
    <tableColumn id="3" name="GEO_ID"/>
    <tableColumn id="4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workbookViewId="0"/>
  </sheetViews>
  <sheetFormatPr defaultRowHeight="15" x14ac:dyDescent="0.25"/>
  <cols>
    <col min="1" max="1" width="13.5703125" customWidth="1"/>
    <col min="2" max="2" width="12.5703125" customWidth="1"/>
    <col min="4" max="4" width="12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152</v>
      </c>
      <c r="E1" t="s">
        <v>153</v>
      </c>
    </row>
    <row r="2" spans="1:5" x14ac:dyDescent="0.25">
      <c r="A2" t="s">
        <v>132</v>
      </c>
      <c r="B2" t="s">
        <v>133</v>
      </c>
      <c r="C2" t="s">
        <v>34</v>
      </c>
      <c r="D2" t="str">
        <f>INDEX(Table2[],MATCH(Table1[[#This Row],[state_name]],Table2[NAME],0),3)</f>
        <v>0400000US01</v>
      </c>
      <c r="E2">
        <f>INDEX(Table2[],MATCH(Table1[[#This Row],[state_name]],Table2[NAME],0),4)</f>
        <v>1</v>
      </c>
    </row>
    <row r="3" spans="1:5" x14ac:dyDescent="0.25">
      <c r="A3" t="s">
        <v>134</v>
      </c>
      <c r="B3" t="s">
        <v>135</v>
      </c>
      <c r="C3" t="s">
        <v>43</v>
      </c>
      <c r="D3" t="str">
        <f>INDEX(Table2[],MATCH(Table1[[#This Row],[state_name]],Table2[NAME],0),3)</f>
        <v>0400000US02</v>
      </c>
      <c r="E3">
        <f>INDEX(Table2[],MATCH(Table1[[#This Row],[state_name]],Table2[NAME],0),4)</f>
        <v>2</v>
      </c>
    </row>
    <row r="4" spans="1:5" x14ac:dyDescent="0.25">
      <c r="A4" t="s">
        <v>126</v>
      </c>
      <c r="B4" t="s">
        <v>127</v>
      </c>
      <c r="C4" t="s">
        <v>50</v>
      </c>
      <c r="D4" t="str">
        <f>INDEX(Table2[],MATCH(Table1[[#This Row],[state_name]],Table2[NAME],0),3)</f>
        <v>0400000US04</v>
      </c>
      <c r="E4">
        <f>INDEX(Table2[],MATCH(Table1[[#This Row],[state_name]],Table2[NAME],0),4)</f>
        <v>4</v>
      </c>
    </row>
    <row r="5" spans="1:5" x14ac:dyDescent="0.25">
      <c r="A5" t="s">
        <v>130</v>
      </c>
      <c r="B5" t="s">
        <v>131</v>
      </c>
      <c r="C5" t="s">
        <v>27</v>
      </c>
      <c r="D5" t="str">
        <f>INDEX(Table2[],MATCH(Table1[[#This Row],[state_name]],Table2[NAME],0),3)</f>
        <v>0400000US05</v>
      </c>
      <c r="E5">
        <f>INDEX(Table2[],MATCH(Table1[[#This Row],[state_name]],Table2[NAME],0),4)</f>
        <v>5</v>
      </c>
    </row>
    <row r="6" spans="1:5" x14ac:dyDescent="0.25">
      <c r="A6" t="s">
        <v>124</v>
      </c>
      <c r="B6" t="s">
        <v>125</v>
      </c>
      <c r="C6" t="s">
        <v>50</v>
      </c>
      <c r="D6" t="str">
        <f>INDEX(Table2[],MATCH(Table1[[#This Row],[state_name]],Table2[NAME],0),3)</f>
        <v>0400000US06</v>
      </c>
      <c r="E6">
        <f>INDEX(Table2[],MATCH(Table1[[#This Row],[state_name]],Table2[NAME],0),4)</f>
        <v>6</v>
      </c>
    </row>
    <row r="7" spans="1:5" x14ac:dyDescent="0.25">
      <c r="A7" t="s">
        <v>122</v>
      </c>
      <c r="B7" t="s">
        <v>123</v>
      </c>
      <c r="C7" t="s">
        <v>5</v>
      </c>
      <c r="D7" t="str">
        <f>INDEX(Table2[],MATCH(Table1[[#This Row],[state_name]],Table2[NAME],0),3)</f>
        <v>0400000US08</v>
      </c>
      <c r="E7">
        <f>INDEX(Table2[],MATCH(Table1[[#This Row],[state_name]],Table2[NAME],0),4)</f>
        <v>8</v>
      </c>
    </row>
    <row r="8" spans="1:5" x14ac:dyDescent="0.25">
      <c r="A8" t="s">
        <v>120</v>
      </c>
      <c r="B8" t="s">
        <v>121</v>
      </c>
      <c r="C8" t="s">
        <v>14</v>
      </c>
      <c r="D8" t="str">
        <f>INDEX(Table2[],MATCH(Table1[[#This Row],[state_name]],Table2[NAME],0),3)</f>
        <v>0400000US09</v>
      </c>
      <c r="E8">
        <f>INDEX(Table2[],MATCH(Table1[[#This Row],[state_name]],Table2[NAME],0),4)</f>
        <v>9</v>
      </c>
    </row>
    <row r="9" spans="1:5" x14ac:dyDescent="0.25">
      <c r="A9" t="s">
        <v>116</v>
      </c>
      <c r="B9" t="s">
        <v>117</v>
      </c>
      <c r="C9" t="s">
        <v>8</v>
      </c>
      <c r="D9" t="str">
        <f>INDEX(Table2[],MATCH(Table1[[#This Row],[state_name]],Table2[NAME],0),3)</f>
        <v>0400000US10</v>
      </c>
      <c r="E9">
        <f>INDEX(Table2[],MATCH(Table1[[#This Row],[state_name]],Table2[NAME],0),4)</f>
        <v>10</v>
      </c>
    </row>
    <row r="10" spans="1:5" x14ac:dyDescent="0.25">
      <c r="A10" t="s">
        <v>118</v>
      </c>
      <c r="B10" t="s">
        <v>119</v>
      </c>
      <c r="C10" t="s">
        <v>8</v>
      </c>
      <c r="D10" t="str">
        <f>INDEX(Table2[],MATCH(Table1[[#This Row],[state_name]],Table2[NAME],0),3)</f>
        <v>0400000US11</v>
      </c>
      <c r="E10">
        <f>INDEX(Table2[],MATCH(Table1[[#This Row],[state_name]],Table2[NAME],0),4)</f>
        <v>11</v>
      </c>
    </row>
    <row r="11" spans="1:5" x14ac:dyDescent="0.25">
      <c r="A11" t="s">
        <v>114</v>
      </c>
      <c r="B11" t="s">
        <v>115</v>
      </c>
      <c r="C11" t="s">
        <v>34</v>
      </c>
      <c r="D11" t="str">
        <f>INDEX(Table2[],MATCH(Table1[[#This Row],[state_name]],Table2[NAME],0),3)</f>
        <v>0400000US12</v>
      </c>
      <c r="E11">
        <f>INDEX(Table2[],MATCH(Table1[[#This Row],[state_name]],Table2[NAME],0),4)</f>
        <v>12</v>
      </c>
    </row>
    <row r="12" spans="1:5" x14ac:dyDescent="0.25">
      <c r="A12" t="s">
        <v>110</v>
      </c>
      <c r="B12" t="s">
        <v>111</v>
      </c>
      <c r="C12" t="s">
        <v>34</v>
      </c>
      <c r="D12" t="str">
        <f>INDEX(Table2[],MATCH(Table1[[#This Row],[state_name]],Table2[NAME],0),3)</f>
        <v>0400000US13</v>
      </c>
      <c r="E12">
        <f>INDEX(Table2[],MATCH(Table1[[#This Row],[state_name]],Table2[NAME],0),4)</f>
        <v>13</v>
      </c>
    </row>
    <row r="13" spans="1:5" x14ac:dyDescent="0.25">
      <c r="A13" t="s">
        <v>104</v>
      </c>
      <c r="B13" t="s">
        <v>105</v>
      </c>
      <c r="C13" t="s">
        <v>50</v>
      </c>
      <c r="D13" t="str">
        <f>INDEX(Table2[],MATCH(Table1[[#This Row],[state_name]],Table2[NAME],0),3)</f>
        <v>0400000US15</v>
      </c>
      <c r="E13">
        <f>INDEX(Table2[],MATCH(Table1[[#This Row],[state_name]],Table2[NAME],0),4)</f>
        <v>15</v>
      </c>
    </row>
    <row r="14" spans="1:5" x14ac:dyDescent="0.25">
      <c r="A14" t="s">
        <v>100</v>
      </c>
      <c r="B14" t="s">
        <v>101</v>
      </c>
      <c r="C14" t="s">
        <v>43</v>
      </c>
      <c r="D14" t="str">
        <f>INDEX(Table2[],MATCH(Table1[[#This Row],[state_name]],Table2[NAME],0),3)</f>
        <v>0400000US16</v>
      </c>
      <c r="E14">
        <f>INDEX(Table2[],MATCH(Table1[[#This Row],[state_name]],Table2[NAME],0),4)</f>
        <v>16</v>
      </c>
    </row>
    <row r="15" spans="1:5" x14ac:dyDescent="0.25">
      <c r="A15" t="s">
        <v>98</v>
      </c>
      <c r="B15" t="s">
        <v>99</v>
      </c>
      <c r="C15" t="s">
        <v>11</v>
      </c>
      <c r="D15" t="str">
        <f>INDEX(Table2[],MATCH(Table1[[#This Row],[state_name]],Table2[NAME],0),3)</f>
        <v>0400000US17</v>
      </c>
      <c r="E15">
        <f>INDEX(Table2[],MATCH(Table1[[#This Row],[state_name]],Table2[NAME],0),4)</f>
        <v>17</v>
      </c>
    </row>
    <row r="16" spans="1:5" x14ac:dyDescent="0.25">
      <c r="A16" t="s">
        <v>96</v>
      </c>
      <c r="B16" t="s">
        <v>97</v>
      </c>
      <c r="C16" t="s">
        <v>11</v>
      </c>
      <c r="D16" t="str">
        <f>INDEX(Table2[],MATCH(Table1[[#This Row],[state_name]],Table2[NAME],0),3)</f>
        <v>0400000US18</v>
      </c>
      <c r="E16">
        <f>INDEX(Table2[],MATCH(Table1[[#This Row],[state_name]],Table2[NAME],0),4)</f>
        <v>18</v>
      </c>
    </row>
    <row r="17" spans="1:5" x14ac:dyDescent="0.25">
      <c r="A17" t="s">
        <v>102</v>
      </c>
      <c r="B17" t="s">
        <v>103</v>
      </c>
      <c r="C17" t="s">
        <v>59</v>
      </c>
      <c r="D17" t="str">
        <f>INDEX(Table2[],MATCH(Table1[[#This Row],[state_name]],Table2[NAME],0),3)</f>
        <v>0400000US19</v>
      </c>
      <c r="E17">
        <f>INDEX(Table2[],MATCH(Table1[[#This Row],[state_name]],Table2[NAME],0),4)</f>
        <v>19</v>
      </c>
    </row>
    <row r="18" spans="1:5" x14ac:dyDescent="0.25">
      <c r="A18" t="s">
        <v>94</v>
      </c>
      <c r="B18" t="s">
        <v>95</v>
      </c>
      <c r="C18" t="s">
        <v>59</v>
      </c>
      <c r="D18" t="str">
        <f>INDEX(Table2[],MATCH(Table1[[#This Row],[state_name]],Table2[NAME],0),3)</f>
        <v>0400000US20</v>
      </c>
      <c r="E18">
        <f>INDEX(Table2[],MATCH(Table1[[#This Row],[state_name]],Table2[NAME],0),4)</f>
        <v>20</v>
      </c>
    </row>
    <row r="19" spans="1:5" x14ac:dyDescent="0.25">
      <c r="A19" t="s">
        <v>90</v>
      </c>
      <c r="B19" t="s">
        <v>91</v>
      </c>
      <c r="C19" t="s">
        <v>34</v>
      </c>
      <c r="D19" t="str">
        <f>INDEX(Table2[],MATCH(Table1[[#This Row],[state_name]],Table2[NAME],0),3)</f>
        <v>0400000US21</v>
      </c>
      <c r="E19">
        <f>INDEX(Table2[],MATCH(Table1[[#This Row],[state_name]],Table2[NAME],0),4)</f>
        <v>21</v>
      </c>
    </row>
    <row r="20" spans="1:5" x14ac:dyDescent="0.25">
      <c r="A20" t="s">
        <v>88</v>
      </c>
      <c r="B20" t="s">
        <v>89</v>
      </c>
      <c r="C20" t="s">
        <v>27</v>
      </c>
      <c r="D20" t="str">
        <f>INDEX(Table2[],MATCH(Table1[[#This Row],[state_name]],Table2[NAME],0),3)</f>
        <v>0400000US22</v>
      </c>
      <c r="E20">
        <f>INDEX(Table2[],MATCH(Table1[[#This Row],[state_name]],Table2[NAME],0),4)</f>
        <v>22</v>
      </c>
    </row>
    <row r="21" spans="1:5" x14ac:dyDescent="0.25">
      <c r="A21" t="s">
        <v>80</v>
      </c>
      <c r="B21" t="s">
        <v>81</v>
      </c>
      <c r="C21" t="s">
        <v>14</v>
      </c>
      <c r="D21" t="str">
        <f>INDEX(Table2[],MATCH(Table1[[#This Row],[state_name]],Table2[NAME],0),3)</f>
        <v>0400000US23</v>
      </c>
      <c r="E21">
        <f>INDEX(Table2[],MATCH(Table1[[#This Row],[state_name]],Table2[NAME],0),4)</f>
        <v>23</v>
      </c>
    </row>
    <row r="22" spans="1:5" x14ac:dyDescent="0.25">
      <c r="A22" t="s">
        <v>82</v>
      </c>
      <c r="B22" t="s">
        <v>83</v>
      </c>
      <c r="C22" t="s">
        <v>8</v>
      </c>
      <c r="D22" t="str">
        <f>INDEX(Table2[],MATCH(Table1[[#This Row],[state_name]],Table2[NAME],0),3)</f>
        <v>0400000US24</v>
      </c>
      <c r="E22">
        <f>INDEX(Table2[],MATCH(Table1[[#This Row],[state_name]],Table2[NAME],0),4)</f>
        <v>24</v>
      </c>
    </row>
    <row r="23" spans="1:5" x14ac:dyDescent="0.25">
      <c r="A23" t="s">
        <v>86</v>
      </c>
      <c r="B23" t="s">
        <v>87</v>
      </c>
      <c r="C23" t="s">
        <v>14</v>
      </c>
      <c r="D23" t="str">
        <f>INDEX(Table2[],MATCH(Table1[[#This Row],[state_name]],Table2[NAME],0),3)</f>
        <v>0400000US25</v>
      </c>
      <c r="E23">
        <f>INDEX(Table2[],MATCH(Table1[[#This Row],[state_name]],Table2[NAME],0),4)</f>
        <v>25</v>
      </c>
    </row>
    <row r="24" spans="1:5" x14ac:dyDescent="0.25">
      <c r="A24" t="s">
        <v>74</v>
      </c>
      <c r="B24" t="s">
        <v>75</v>
      </c>
      <c r="C24" t="s">
        <v>11</v>
      </c>
      <c r="D24" t="str">
        <f>INDEX(Table2[],MATCH(Table1[[#This Row],[state_name]],Table2[NAME],0),3)</f>
        <v>0400000US26</v>
      </c>
      <c r="E24">
        <f>INDEX(Table2[],MATCH(Table1[[#This Row],[state_name]],Table2[NAME],0),4)</f>
        <v>26</v>
      </c>
    </row>
    <row r="25" spans="1:5" x14ac:dyDescent="0.25">
      <c r="A25" t="s">
        <v>72</v>
      </c>
      <c r="B25" t="s">
        <v>73</v>
      </c>
      <c r="C25" t="s">
        <v>11</v>
      </c>
      <c r="D25" t="str">
        <f>INDEX(Table2[],MATCH(Table1[[#This Row],[state_name]],Table2[NAME],0),3)</f>
        <v>0400000US27</v>
      </c>
      <c r="E25">
        <f>INDEX(Table2[],MATCH(Table1[[#This Row],[state_name]],Table2[NAME],0),4)</f>
        <v>27</v>
      </c>
    </row>
    <row r="26" spans="1:5" x14ac:dyDescent="0.25">
      <c r="A26" t="s">
        <v>66</v>
      </c>
      <c r="B26" t="s">
        <v>67</v>
      </c>
      <c r="C26" t="s">
        <v>34</v>
      </c>
      <c r="D26" t="str">
        <f>INDEX(Table2[],MATCH(Table1[[#This Row],[state_name]],Table2[NAME],0),3)</f>
        <v>0400000US28</v>
      </c>
      <c r="E26">
        <f>INDEX(Table2[],MATCH(Table1[[#This Row],[state_name]],Table2[NAME],0),4)</f>
        <v>28</v>
      </c>
    </row>
    <row r="27" spans="1:5" x14ac:dyDescent="0.25">
      <c r="A27" t="s">
        <v>70</v>
      </c>
      <c r="B27" t="s">
        <v>71</v>
      </c>
      <c r="C27" t="s">
        <v>59</v>
      </c>
      <c r="D27" t="str">
        <f>INDEX(Table2[],MATCH(Table1[[#This Row],[state_name]],Table2[NAME],0),3)</f>
        <v>0400000US29</v>
      </c>
      <c r="E27">
        <f>INDEX(Table2[],MATCH(Table1[[#This Row],[state_name]],Table2[NAME],0),4)</f>
        <v>29</v>
      </c>
    </row>
    <row r="28" spans="1:5" x14ac:dyDescent="0.25">
      <c r="A28" t="s">
        <v>64</v>
      </c>
      <c r="B28" t="s">
        <v>65</v>
      </c>
      <c r="C28" t="s">
        <v>5</v>
      </c>
      <c r="D28" t="str">
        <f>INDEX(Table2[],MATCH(Table1[[#This Row],[state_name]],Table2[NAME],0),3)</f>
        <v>0400000US30</v>
      </c>
      <c r="E28">
        <f>INDEX(Table2[],MATCH(Table1[[#This Row],[state_name]],Table2[NAME],0),4)</f>
        <v>30</v>
      </c>
    </row>
    <row r="29" spans="1:5" x14ac:dyDescent="0.25">
      <c r="A29" t="s">
        <v>57</v>
      </c>
      <c r="B29" t="s">
        <v>58</v>
      </c>
      <c r="C29" t="s">
        <v>59</v>
      </c>
      <c r="D29" t="str">
        <f>INDEX(Table2[],MATCH(Table1[[#This Row],[state_name]],Table2[NAME],0),3)</f>
        <v>0400000US31</v>
      </c>
      <c r="E29">
        <f>INDEX(Table2[],MATCH(Table1[[#This Row],[state_name]],Table2[NAME],0),4)</f>
        <v>31</v>
      </c>
    </row>
    <row r="30" spans="1:5" x14ac:dyDescent="0.25">
      <c r="A30" t="s">
        <v>48</v>
      </c>
      <c r="B30" t="s">
        <v>49</v>
      </c>
      <c r="C30" t="s">
        <v>50</v>
      </c>
      <c r="D30" t="str">
        <f>INDEX(Table2[],MATCH(Table1[[#This Row],[state_name]],Table2[NAME],0),3)</f>
        <v>0400000US32</v>
      </c>
      <c r="E30">
        <f>INDEX(Table2[],MATCH(Table1[[#This Row],[state_name]],Table2[NAME],0),4)</f>
        <v>32</v>
      </c>
    </row>
    <row r="31" spans="1:5" x14ac:dyDescent="0.25">
      <c r="A31" t="s">
        <v>55</v>
      </c>
      <c r="B31" t="s">
        <v>56</v>
      </c>
      <c r="C31" t="s">
        <v>14</v>
      </c>
      <c r="D31" t="str">
        <f>INDEX(Table2[],MATCH(Table1[[#This Row],[state_name]],Table2[NAME],0),3)</f>
        <v>0400000US33</v>
      </c>
      <c r="E31">
        <f>INDEX(Table2[],MATCH(Table1[[#This Row],[state_name]],Table2[NAME],0),4)</f>
        <v>33</v>
      </c>
    </row>
    <row r="32" spans="1:5" x14ac:dyDescent="0.25">
      <c r="A32" t="s">
        <v>53</v>
      </c>
      <c r="B32" t="s">
        <v>54</v>
      </c>
      <c r="C32" t="s">
        <v>17</v>
      </c>
      <c r="D32" t="str">
        <f>INDEX(Table2[],MATCH(Table1[[#This Row],[state_name]],Table2[NAME],0),3)</f>
        <v>0400000US34</v>
      </c>
      <c r="E32">
        <f>INDEX(Table2[],MATCH(Table1[[#This Row],[state_name]],Table2[NAME],0),4)</f>
        <v>34</v>
      </c>
    </row>
    <row r="33" spans="1:5" x14ac:dyDescent="0.25">
      <c r="A33" t="s">
        <v>51</v>
      </c>
      <c r="B33" t="s">
        <v>52</v>
      </c>
      <c r="C33" t="s">
        <v>27</v>
      </c>
      <c r="D33" t="str">
        <f>INDEX(Table2[],MATCH(Table1[[#This Row],[state_name]],Table2[NAME],0),3)</f>
        <v>0400000US35</v>
      </c>
      <c r="E33">
        <f>INDEX(Table2[],MATCH(Table1[[#This Row],[state_name]],Table2[NAME],0),4)</f>
        <v>35</v>
      </c>
    </row>
    <row r="34" spans="1:5" x14ac:dyDescent="0.25">
      <c r="A34" t="s">
        <v>46</v>
      </c>
      <c r="B34" t="s">
        <v>47</v>
      </c>
      <c r="C34" t="s">
        <v>17</v>
      </c>
      <c r="D34" t="str">
        <f>INDEX(Table2[],MATCH(Table1[[#This Row],[state_name]],Table2[NAME],0),3)</f>
        <v>0400000US36</v>
      </c>
      <c r="E34">
        <f>INDEX(Table2[],MATCH(Table1[[#This Row],[state_name]],Table2[NAME],0),4)</f>
        <v>36</v>
      </c>
    </row>
    <row r="35" spans="1:5" x14ac:dyDescent="0.25">
      <c r="A35" t="s">
        <v>62</v>
      </c>
      <c r="B35" t="s">
        <v>63</v>
      </c>
      <c r="C35" t="s">
        <v>34</v>
      </c>
      <c r="D35" t="str">
        <f>INDEX(Table2[],MATCH(Table1[[#This Row],[state_name]],Table2[NAME],0),3)</f>
        <v>0400000US37</v>
      </c>
      <c r="E35">
        <f>INDEX(Table2[],MATCH(Table1[[#This Row],[state_name]],Table2[NAME],0),4)</f>
        <v>37</v>
      </c>
    </row>
    <row r="36" spans="1:5" x14ac:dyDescent="0.25">
      <c r="A36" t="s">
        <v>60</v>
      </c>
      <c r="B36" t="s">
        <v>61</v>
      </c>
      <c r="C36" t="s">
        <v>5</v>
      </c>
      <c r="D36" t="str">
        <f>INDEX(Table2[],MATCH(Table1[[#This Row],[state_name]],Table2[NAME],0),3)</f>
        <v>0400000US38</v>
      </c>
      <c r="E36">
        <f>INDEX(Table2[],MATCH(Table1[[#This Row],[state_name]],Table2[NAME],0),4)</f>
        <v>38</v>
      </c>
    </row>
    <row r="37" spans="1:5" x14ac:dyDescent="0.25">
      <c r="A37" t="s">
        <v>44</v>
      </c>
      <c r="B37" t="s">
        <v>45</v>
      </c>
      <c r="C37" t="s">
        <v>11</v>
      </c>
      <c r="D37" t="str">
        <f>INDEX(Table2[],MATCH(Table1[[#This Row],[state_name]],Table2[NAME],0),3)</f>
        <v>0400000US39</v>
      </c>
      <c r="E37">
        <f>INDEX(Table2[],MATCH(Table1[[#This Row],[state_name]],Table2[NAME],0),4)</f>
        <v>39</v>
      </c>
    </row>
    <row r="38" spans="1:5" x14ac:dyDescent="0.25">
      <c r="A38" t="s">
        <v>76</v>
      </c>
      <c r="B38" t="s">
        <v>77</v>
      </c>
      <c r="C38" t="s">
        <v>27</v>
      </c>
      <c r="D38" t="str">
        <f>INDEX(Table2[],MATCH(Table1[[#This Row],[state_name]],Table2[NAME],0),3)</f>
        <v>0400000US40</v>
      </c>
      <c r="E38">
        <f>INDEX(Table2[],MATCH(Table1[[#This Row],[state_name]],Table2[NAME],0),4)</f>
        <v>40</v>
      </c>
    </row>
    <row r="39" spans="1:5" x14ac:dyDescent="0.25">
      <c r="A39" t="s">
        <v>41</v>
      </c>
      <c r="B39" t="s">
        <v>42</v>
      </c>
      <c r="C39" t="s">
        <v>43</v>
      </c>
      <c r="D39" t="str">
        <f>INDEX(Table2[],MATCH(Table1[[#This Row],[state_name]],Table2[NAME],0),3)</f>
        <v>0400000US41</v>
      </c>
      <c r="E39">
        <f>INDEX(Table2[],MATCH(Table1[[#This Row],[state_name]],Table2[NAME],0),4)</f>
        <v>41</v>
      </c>
    </row>
    <row r="40" spans="1:5" x14ac:dyDescent="0.25">
      <c r="A40" t="s">
        <v>39</v>
      </c>
      <c r="B40" t="s">
        <v>40</v>
      </c>
      <c r="C40" t="s">
        <v>8</v>
      </c>
      <c r="D40" t="str">
        <f>INDEX(Table2[],MATCH(Table1[[#This Row],[state_name]],Table2[NAME],0),3)</f>
        <v>0400000US42</v>
      </c>
      <c r="E40">
        <f>INDEX(Table2[],MATCH(Table1[[#This Row],[state_name]],Table2[NAME],0),4)</f>
        <v>42</v>
      </c>
    </row>
    <row r="41" spans="1:5" x14ac:dyDescent="0.25">
      <c r="A41" t="s">
        <v>35</v>
      </c>
      <c r="B41" t="s">
        <v>36</v>
      </c>
      <c r="C41" t="s">
        <v>14</v>
      </c>
      <c r="D41" t="str">
        <f>INDEX(Table2[],MATCH(Table1[[#This Row],[state_name]],Table2[NAME],0),3)</f>
        <v>0400000US44</v>
      </c>
      <c r="E41">
        <f>INDEX(Table2[],MATCH(Table1[[#This Row],[state_name]],Table2[NAME],0),4)</f>
        <v>44</v>
      </c>
    </row>
    <row r="42" spans="1:5" x14ac:dyDescent="0.25">
      <c r="A42" t="s">
        <v>32</v>
      </c>
      <c r="B42" t="s">
        <v>33</v>
      </c>
      <c r="C42" t="s">
        <v>34</v>
      </c>
      <c r="D42" t="str">
        <f>INDEX(Table2[],MATCH(Table1[[#This Row],[state_name]],Table2[NAME],0),3)</f>
        <v>0400000US45</v>
      </c>
      <c r="E42">
        <f>INDEX(Table2[],MATCH(Table1[[#This Row],[state_name]],Table2[NAME],0),4)</f>
        <v>45</v>
      </c>
    </row>
    <row r="43" spans="1:5" x14ac:dyDescent="0.25">
      <c r="A43" t="s">
        <v>30</v>
      </c>
      <c r="B43" t="s">
        <v>31</v>
      </c>
      <c r="C43" t="s">
        <v>5</v>
      </c>
      <c r="D43" t="str">
        <f>INDEX(Table2[],MATCH(Table1[[#This Row],[state_name]],Table2[NAME],0),3)</f>
        <v>0400000US46</v>
      </c>
      <c r="E43">
        <f>INDEX(Table2[],MATCH(Table1[[#This Row],[state_name]],Table2[NAME],0),4)</f>
        <v>46</v>
      </c>
    </row>
    <row r="44" spans="1:5" x14ac:dyDescent="0.25">
      <c r="A44" t="s">
        <v>92</v>
      </c>
      <c r="B44" t="s">
        <v>93</v>
      </c>
      <c r="C44" t="s">
        <v>34</v>
      </c>
      <c r="D44" t="str">
        <f>INDEX(Table2[],MATCH(Table1[[#This Row],[state_name]],Table2[NAME],0),3)</f>
        <v>0400000US47</v>
      </c>
      <c r="E44">
        <f>INDEX(Table2[],MATCH(Table1[[#This Row],[state_name]],Table2[NAME],0),4)</f>
        <v>47</v>
      </c>
    </row>
    <row r="45" spans="1:5" x14ac:dyDescent="0.25">
      <c r="A45" t="s">
        <v>25</v>
      </c>
      <c r="B45" t="s">
        <v>26</v>
      </c>
      <c r="C45" t="s">
        <v>27</v>
      </c>
      <c r="D45" t="str">
        <f>INDEX(Table2[],MATCH(Table1[[#This Row],[state_name]],Table2[NAME],0),3)</f>
        <v>0400000US48</v>
      </c>
      <c r="E45">
        <f>INDEX(Table2[],MATCH(Table1[[#This Row],[state_name]],Table2[NAME],0),4)</f>
        <v>48</v>
      </c>
    </row>
    <row r="46" spans="1:5" x14ac:dyDescent="0.25">
      <c r="A46" t="s">
        <v>20</v>
      </c>
      <c r="B46" t="s">
        <v>21</v>
      </c>
      <c r="C46" t="s">
        <v>5</v>
      </c>
      <c r="D46" t="str">
        <f>INDEX(Table2[],MATCH(Table1[[#This Row],[state_name]],Table2[NAME],0),3)</f>
        <v>0400000US49</v>
      </c>
      <c r="E46">
        <f>INDEX(Table2[],MATCH(Table1[[#This Row],[state_name]],Table2[NAME],0),4)</f>
        <v>49</v>
      </c>
    </row>
    <row r="47" spans="1:5" x14ac:dyDescent="0.25">
      <c r="A47" t="s">
        <v>12</v>
      </c>
      <c r="B47" t="s">
        <v>13</v>
      </c>
      <c r="C47" t="s">
        <v>14</v>
      </c>
      <c r="D47" t="str">
        <f>INDEX(Table2[],MATCH(Table1[[#This Row],[state_name]],Table2[NAME],0),3)</f>
        <v>0400000US50</v>
      </c>
      <c r="E47">
        <f>INDEX(Table2[],MATCH(Table1[[#This Row],[state_name]],Table2[NAME],0),4)</f>
        <v>50</v>
      </c>
    </row>
    <row r="48" spans="1:5" x14ac:dyDescent="0.25">
      <c r="A48" t="s">
        <v>18</v>
      </c>
      <c r="B48" t="s">
        <v>19</v>
      </c>
      <c r="C48" t="s">
        <v>8</v>
      </c>
      <c r="D48" t="str">
        <f>INDEX(Table2[],MATCH(Table1[[#This Row],[state_name]],Table2[NAME],0),3)</f>
        <v>0400000US51</v>
      </c>
      <c r="E48">
        <f>INDEX(Table2[],MATCH(Table1[[#This Row],[state_name]],Table2[NAME],0),4)</f>
        <v>51</v>
      </c>
    </row>
    <row r="49" spans="1:5" x14ac:dyDescent="0.25">
      <c r="A49" t="s">
        <v>108</v>
      </c>
      <c r="B49" t="s">
        <v>109</v>
      </c>
      <c r="C49" t="s">
        <v>43</v>
      </c>
      <c r="D49" t="str">
        <f>INDEX(Table2[],MATCH(Table1[[#This Row],[state_name]],Table2[NAME],0),3)</f>
        <v>0400000US53</v>
      </c>
      <c r="E49">
        <f>INDEX(Table2[],MATCH(Table1[[#This Row],[state_name]],Table2[NAME],0),4)</f>
        <v>53</v>
      </c>
    </row>
    <row r="50" spans="1:5" x14ac:dyDescent="0.25">
      <c r="A50" t="s">
        <v>6</v>
      </c>
      <c r="B50" t="s">
        <v>7</v>
      </c>
      <c r="C50" t="s">
        <v>8</v>
      </c>
      <c r="D50" t="str">
        <f>INDEX(Table2[],MATCH(Table1[[#This Row],[state_name]],Table2[NAME],0),3)</f>
        <v>0400000US54</v>
      </c>
      <c r="E50">
        <f>INDEX(Table2[],MATCH(Table1[[#This Row],[state_name]],Table2[NAME],0),4)</f>
        <v>54</v>
      </c>
    </row>
    <row r="51" spans="1:5" x14ac:dyDescent="0.25">
      <c r="A51" t="s">
        <v>9</v>
      </c>
      <c r="B51" t="s">
        <v>10</v>
      </c>
      <c r="C51" t="s">
        <v>11</v>
      </c>
      <c r="D51" t="str">
        <f>INDEX(Table2[],MATCH(Table1[[#This Row],[state_name]],Table2[NAME],0),3)</f>
        <v>0400000US55</v>
      </c>
      <c r="E51">
        <f>INDEX(Table2[],MATCH(Table1[[#This Row],[state_name]],Table2[NAME],0),4)</f>
        <v>55</v>
      </c>
    </row>
    <row r="52" spans="1:5" x14ac:dyDescent="0.25">
      <c r="A52" t="s">
        <v>3</v>
      </c>
      <c r="B52" t="s">
        <v>4</v>
      </c>
      <c r="C52" t="s">
        <v>5</v>
      </c>
      <c r="D52" t="str">
        <f>INDEX(Table2[],MATCH(Table1[[#This Row],[state_name]],Table2[NAME],0),3)</f>
        <v>0400000US56</v>
      </c>
      <c r="E52">
        <f>INDEX(Table2[],MATCH(Table1[[#This Row],[state_name]],Table2[NAME],0),4)</f>
        <v>56</v>
      </c>
    </row>
    <row r="53" spans="1:5" x14ac:dyDescent="0.25">
      <c r="A53" t="s">
        <v>37</v>
      </c>
      <c r="B53" t="s">
        <v>38</v>
      </c>
      <c r="C53" t="s">
        <v>17</v>
      </c>
      <c r="D53" t="str">
        <f>INDEX(Table2[],MATCH(Table1[[#This Row],[state_name]],Table2[NAME],0),3)</f>
        <v>0400000US72</v>
      </c>
      <c r="E53">
        <f>INDEX(Table2[],MATCH(Table1[[#This Row],[state_name]],Table2[NAME],0),4)</f>
        <v>72</v>
      </c>
    </row>
    <row r="54" spans="1:5" x14ac:dyDescent="0.25">
      <c r="A54" t="s">
        <v>128</v>
      </c>
      <c r="B54" t="s">
        <v>129</v>
      </c>
      <c r="C54" t="s">
        <v>50</v>
      </c>
      <c r="D54" t="e">
        <f>INDEX(Table2[],MATCH(Table1[[#This Row],[state_name]],Table2[NAME],0),3)</f>
        <v>#N/A</v>
      </c>
      <c r="E54" t="e">
        <f>INDEX(Table2[],MATCH(Table1[[#This Row],[state_name]],Table2[NAME],0),4)</f>
        <v>#N/A</v>
      </c>
    </row>
    <row r="55" spans="1:5" x14ac:dyDescent="0.25">
      <c r="A55" t="s">
        <v>145</v>
      </c>
      <c r="B55" t="s">
        <v>146</v>
      </c>
      <c r="C55" t="s">
        <v>142</v>
      </c>
      <c r="D55" t="e">
        <f>INDEX(Table2[],MATCH(Table1[[#This Row],[state_name]],Table2[NAME],0),3)</f>
        <v>#N/A</v>
      </c>
      <c r="E55" t="e">
        <f>INDEX(Table2[],MATCH(Table1[[#This Row],[state_name]],Table2[NAME],0),4)</f>
        <v>#N/A</v>
      </c>
    </row>
    <row r="56" spans="1:5" x14ac:dyDescent="0.25">
      <c r="A56" t="s">
        <v>143</v>
      </c>
      <c r="B56" t="s">
        <v>144</v>
      </c>
      <c r="C56" t="s">
        <v>142</v>
      </c>
      <c r="D56" t="e">
        <f>INDEX(Table2[],MATCH(Table1[[#This Row],[state_name]],Table2[NAME],0),3)</f>
        <v>#N/A</v>
      </c>
      <c r="E56" t="e">
        <f>INDEX(Table2[],MATCH(Table1[[#This Row],[state_name]],Table2[NAME],0),4)</f>
        <v>#N/A</v>
      </c>
    </row>
    <row r="57" spans="1:5" x14ac:dyDescent="0.25">
      <c r="A57" t="s">
        <v>136</v>
      </c>
      <c r="B57" t="s">
        <v>137</v>
      </c>
      <c r="C57" t="s">
        <v>24</v>
      </c>
      <c r="D57" t="e">
        <f>INDEX(Table2[],MATCH(Table1[[#This Row],[state_name]],Table2[NAME],0),3)</f>
        <v>#N/A</v>
      </c>
      <c r="E57" t="e">
        <f>INDEX(Table2[],MATCH(Table1[[#This Row],[state_name]],Table2[NAME],0),4)</f>
        <v>#N/A</v>
      </c>
    </row>
    <row r="58" spans="1:5" x14ac:dyDescent="0.25">
      <c r="A58" t="s">
        <v>147</v>
      </c>
      <c r="B58" t="s">
        <v>148</v>
      </c>
      <c r="C58" t="s">
        <v>142</v>
      </c>
      <c r="D58" t="e">
        <f>INDEX(Table2[],MATCH(Table1[[#This Row],[state_name]],Table2[NAME],0),3)</f>
        <v>#N/A</v>
      </c>
      <c r="E58" t="e">
        <f>INDEX(Table2[],MATCH(Table1[[#This Row],[state_name]],Table2[NAME],0),4)</f>
        <v>#N/A</v>
      </c>
    </row>
    <row r="59" spans="1:5" x14ac:dyDescent="0.25">
      <c r="A59" t="s">
        <v>112</v>
      </c>
      <c r="B59" t="s">
        <v>113</v>
      </c>
      <c r="C59" t="s">
        <v>50</v>
      </c>
      <c r="D59" t="e">
        <f>INDEX(Table2[],MATCH(Table1[[#This Row],[state_name]],Table2[NAME],0),3)</f>
        <v>#N/A</v>
      </c>
      <c r="E59" t="e">
        <f>INDEX(Table2[],MATCH(Table1[[#This Row],[state_name]],Table2[NAME],0),4)</f>
        <v>#N/A</v>
      </c>
    </row>
    <row r="60" spans="1:5" x14ac:dyDescent="0.25">
      <c r="A60" t="s">
        <v>106</v>
      </c>
      <c r="B60" t="s">
        <v>107</v>
      </c>
      <c r="C60" t="s">
        <v>50</v>
      </c>
      <c r="D60" t="e">
        <f>INDEX(Table2[],MATCH(Table1[[#This Row],[state_name]],Table2[NAME],0),3)</f>
        <v>#N/A</v>
      </c>
      <c r="E60" t="e">
        <f>INDEX(Table2[],MATCH(Table1[[#This Row],[state_name]],Table2[NAME],0),4)</f>
        <v>#N/A</v>
      </c>
    </row>
    <row r="61" spans="1:5" x14ac:dyDescent="0.25">
      <c r="A61" t="s">
        <v>138</v>
      </c>
      <c r="B61" t="s">
        <v>139</v>
      </c>
      <c r="C61" t="s">
        <v>24</v>
      </c>
      <c r="D61" t="e">
        <f>INDEX(Table2[],MATCH(Table1[[#This Row],[state_name]],Table2[NAME],0),3)</f>
        <v>#N/A</v>
      </c>
      <c r="E61" t="e">
        <f>INDEX(Table2[],MATCH(Table1[[#This Row],[state_name]],Table2[NAME],0),4)</f>
        <v>#N/A</v>
      </c>
    </row>
    <row r="62" spans="1:5" x14ac:dyDescent="0.25">
      <c r="A62" t="s">
        <v>78</v>
      </c>
      <c r="B62" t="s">
        <v>79</v>
      </c>
      <c r="C62" t="s">
        <v>24</v>
      </c>
      <c r="D62" t="e">
        <f>INDEX(Table2[],MATCH(Table1[[#This Row],[state_name]],Table2[NAME],0),3)</f>
        <v>#N/A</v>
      </c>
      <c r="E62" t="e">
        <f>INDEX(Table2[],MATCH(Table1[[#This Row],[state_name]],Table2[NAME],0),4)</f>
        <v>#N/A</v>
      </c>
    </row>
    <row r="63" spans="1:5" x14ac:dyDescent="0.25">
      <c r="A63" t="s">
        <v>149</v>
      </c>
      <c r="B63" t="s">
        <v>150</v>
      </c>
      <c r="C63" t="s">
        <v>142</v>
      </c>
      <c r="D63" t="e">
        <f>INDEX(Table2[],MATCH(Table1[[#This Row],[state_name]],Table2[NAME],0),3)</f>
        <v>#N/A</v>
      </c>
      <c r="E63" t="e">
        <f>INDEX(Table2[],MATCH(Table1[[#This Row],[state_name]],Table2[NAME],0),4)</f>
        <v>#N/A</v>
      </c>
    </row>
    <row r="64" spans="1:5" x14ac:dyDescent="0.25">
      <c r="A64" t="s">
        <v>68</v>
      </c>
      <c r="B64" t="s">
        <v>69</v>
      </c>
      <c r="C64" t="s">
        <v>50</v>
      </c>
      <c r="D64" t="e">
        <f>INDEX(Table2[],MATCH(Table1[[#This Row],[state_name]],Table2[NAME],0),3)</f>
        <v>#N/A</v>
      </c>
      <c r="E64" t="e">
        <f>INDEX(Table2[],MATCH(Table1[[#This Row],[state_name]],Table2[NAME],0),4)</f>
        <v>#N/A</v>
      </c>
    </row>
    <row r="65" spans="1:5" x14ac:dyDescent="0.25">
      <c r="A65" t="s">
        <v>22</v>
      </c>
      <c r="B65" t="s">
        <v>23</v>
      </c>
      <c r="C65" t="s">
        <v>24</v>
      </c>
      <c r="D65" t="e">
        <f>INDEX(Table2[],MATCH(Table1[[#This Row],[state_name]],Table2[NAME],0),3)</f>
        <v>#N/A</v>
      </c>
      <c r="E65" t="e">
        <f>INDEX(Table2[],MATCH(Table1[[#This Row],[state_name]],Table2[NAME],0),4)</f>
        <v>#N/A</v>
      </c>
    </row>
    <row r="66" spans="1:5" x14ac:dyDescent="0.25">
      <c r="A66" t="s">
        <v>84</v>
      </c>
      <c r="B66" t="s">
        <v>85</v>
      </c>
      <c r="C66" t="s">
        <v>24</v>
      </c>
      <c r="D66" t="e">
        <f>INDEX(Table2[],MATCH(Table1[[#This Row],[state_name]],Table2[NAME],0),3)</f>
        <v>#N/A</v>
      </c>
      <c r="E66" t="e">
        <f>INDEX(Table2[],MATCH(Table1[[#This Row],[state_name]],Table2[NAME],0),4)</f>
        <v>#N/A</v>
      </c>
    </row>
    <row r="67" spans="1:5" x14ac:dyDescent="0.25">
      <c r="A67" t="s">
        <v>28</v>
      </c>
      <c r="B67" t="s">
        <v>29</v>
      </c>
      <c r="C67" t="s">
        <v>24</v>
      </c>
      <c r="D67" t="e">
        <f>INDEX(Table2[],MATCH(Table1[[#This Row],[state_name]],Table2[NAME],0),3)</f>
        <v>#N/A</v>
      </c>
      <c r="E67" t="e">
        <f>INDEX(Table2[],MATCH(Table1[[#This Row],[state_name]],Table2[NAME],0),4)</f>
        <v>#N/A</v>
      </c>
    </row>
    <row r="68" spans="1:5" x14ac:dyDescent="0.25">
      <c r="A68" t="s">
        <v>140</v>
      </c>
      <c r="B68" t="s">
        <v>141</v>
      </c>
      <c r="C68" t="s">
        <v>142</v>
      </c>
      <c r="D68" t="e">
        <f>INDEX(Table2[],MATCH(Table1[[#This Row],[state_name]],Table2[NAME],0),3)</f>
        <v>#N/A</v>
      </c>
      <c r="E68" t="e">
        <f>INDEX(Table2[],MATCH(Table1[[#This Row],[state_name]],Table2[NAME],0),4)</f>
        <v>#N/A</v>
      </c>
    </row>
    <row r="69" spans="1:5" x14ac:dyDescent="0.25">
      <c r="A69" t="s">
        <v>15</v>
      </c>
      <c r="B69" t="s">
        <v>16</v>
      </c>
      <c r="C69" t="s">
        <v>17</v>
      </c>
      <c r="D69" t="e">
        <f>INDEX(Table2[],MATCH(Table1[[#This Row],[state_name]],Table2[NAME],0),3)</f>
        <v>#N/A</v>
      </c>
      <c r="E69" t="e">
        <f>INDEX(Table2[],MATCH(Table1[[#This Row],[state_name]],Table2[NAME],0),4)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A2" sqref="A2"/>
    </sheetView>
  </sheetViews>
  <sheetFormatPr defaultRowHeight="15" x14ac:dyDescent="0.25"/>
  <cols>
    <col min="3" max="3" width="9.85546875" customWidth="1"/>
  </cols>
  <sheetData>
    <row r="1" spans="1:4" x14ac:dyDescent="0.25">
      <c r="A1" t="s">
        <v>154</v>
      </c>
      <c r="B1" t="s">
        <v>151</v>
      </c>
      <c r="C1" t="s">
        <v>152</v>
      </c>
      <c r="D1" t="s">
        <v>153</v>
      </c>
    </row>
    <row r="2" spans="1:4" x14ac:dyDescent="0.25">
      <c r="A2">
        <v>0</v>
      </c>
      <c r="B2" t="s">
        <v>132</v>
      </c>
      <c r="C2" t="s">
        <v>155</v>
      </c>
      <c r="D2">
        <v>1</v>
      </c>
    </row>
    <row r="3" spans="1:4" x14ac:dyDescent="0.25">
      <c r="A3">
        <v>1</v>
      </c>
      <c r="B3" t="s">
        <v>134</v>
      </c>
      <c r="C3" t="s">
        <v>156</v>
      </c>
      <c r="D3">
        <v>2</v>
      </c>
    </row>
    <row r="4" spans="1:4" x14ac:dyDescent="0.25">
      <c r="A4">
        <v>2</v>
      </c>
      <c r="B4" t="s">
        <v>126</v>
      </c>
      <c r="C4" t="s">
        <v>157</v>
      </c>
      <c r="D4">
        <v>4</v>
      </c>
    </row>
    <row r="5" spans="1:4" x14ac:dyDescent="0.25">
      <c r="A5">
        <v>3</v>
      </c>
      <c r="B5" t="s">
        <v>130</v>
      </c>
      <c r="C5" t="s">
        <v>158</v>
      </c>
      <c r="D5">
        <v>5</v>
      </c>
    </row>
    <row r="6" spans="1:4" x14ac:dyDescent="0.25">
      <c r="A6">
        <v>4</v>
      </c>
      <c r="B6" t="s">
        <v>124</v>
      </c>
      <c r="C6" t="s">
        <v>159</v>
      </c>
      <c r="D6">
        <v>6</v>
      </c>
    </row>
    <row r="7" spans="1:4" x14ac:dyDescent="0.25">
      <c r="A7">
        <v>5</v>
      </c>
      <c r="B7" t="s">
        <v>122</v>
      </c>
      <c r="C7" t="s">
        <v>160</v>
      </c>
      <c r="D7">
        <v>8</v>
      </c>
    </row>
    <row r="8" spans="1:4" x14ac:dyDescent="0.25">
      <c r="A8">
        <v>6</v>
      </c>
      <c r="B8" t="s">
        <v>116</v>
      </c>
      <c r="C8" t="s">
        <v>161</v>
      </c>
      <c r="D8">
        <v>10</v>
      </c>
    </row>
    <row r="9" spans="1:4" x14ac:dyDescent="0.25">
      <c r="A9">
        <v>7</v>
      </c>
      <c r="B9" t="s">
        <v>162</v>
      </c>
      <c r="C9" t="s">
        <v>163</v>
      </c>
      <c r="D9">
        <v>11</v>
      </c>
    </row>
    <row r="10" spans="1:4" x14ac:dyDescent="0.25">
      <c r="A10">
        <v>8</v>
      </c>
      <c r="B10" t="s">
        <v>120</v>
      </c>
      <c r="C10" t="s">
        <v>164</v>
      </c>
      <c r="D10">
        <v>9</v>
      </c>
    </row>
    <row r="11" spans="1:4" x14ac:dyDescent="0.25">
      <c r="A11">
        <v>9</v>
      </c>
      <c r="B11" t="s">
        <v>114</v>
      </c>
      <c r="C11" t="s">
        <v>165</v>
      </c>
      <c r="D11">
        <v>12</v>
      </c>
    </row>
    <row r="12" spans="1:4" x14ac:dyDescent="0.25">
      <c r="A12">
        <v>10</v>
      </c>
      <c r="B12" t="s">
        <v>110</v>
      </c>
      <c r="C12" t="s">
        <v>166</v>
      </c>
      <c r="D12">
        <v>13</v>
      </c>
    </row>
    <row r="13" spans="1:4" x14ac:dyDescent="0.25">
      <c r="A13">
        <v>11</v>
      </c>
      <c r="B13" t="s">
        <v>100</v>
      </c>
      <c r="C13" t="s">
        <v>167</v>
      </c>
      <c r="D13">
        <v>16</v>
      </c>
    </row>
    <row r="14" spans="1:4" x14ac:dyDescent="0.25">
      <c r="A14">
        <v>12</v>
      </c>
      <c r="B14" t="s">
        <v>104</v>
      </c>
      <c r="C14" t="s">
        <v>168</v>
      </c>
      <c r="D14">
        <v>15</v>
      </c>
    </row>
    <row r="15" spans="1:4" x14ac:dyDescent="0.25">
      <c r="A15">
        <v>13</v>
      </c>
      <c r="B15" t="s">
        <v>98</v>
      </c>
      <c r="C15" t="s">
        <v>169</v>
      </c>
      <c r="D15">
        <v>17</v>
      </c>
    </row>
    <row r="16" spans="1:4" x14ac:dyDescent="0.25">
      <c r="A16">
        <v>14</v>
      </c>
      <c r="B16" t="s">
        <v>96</v>
      </c>
      <c r="C16" t="s">
        <v>170</v>
      </c>
      <c r="D16">
        <v>18</v>
      </c>
    </row>
    <row r="17" spans="1:4" x14ac:dyDescent="0.25">
      <c r="A17">
        <v>15</v>
      </c>
      <c r="B17" t="s">
        <v>102</v>
      </c>
      <c r="C17" t="s">
        <v>171</v>
      </c>
      <c r="D17">
        <v>19</v>
      </c>
    </row>
    <row r="18" spans="1:4" x14ac:dyDescent="0.25">
      <c r="A18">
        <v>16</v>
      </c>
      <c r="B18" t="s">
        <v>94</v>
      </c>
      <c r="C18" t="s">
        <v>172</v>
      </c>
      <c r="D18">
        <v>20</v>
      </c>
    </row>
    <row r="19" spans="1:4" x14ac:dyDescent="0.25">
      <c r="A19">
        <v>17</v>
      </c>
      <c r="B19" t="s">
        <v>90</v>
      </c>
      <c r="C19" t="s">
        <v>173</v>
      </c>
      <c r="D19">
        <v>21</v>
      </c>
    </row>
    <row r="20" spans="1:4" x14ac:dyDescent="0.25">
      <c r="A20">
        <v>18</v>
      </c>
      <c r="B20" t="s">
        <v>88</v>
      </c>
      <c r="C20" t="s">
        <v>174</v>
      </c>
      <c r="D20">
        <v>22</v>
      </c>
    </row>
    <row r="21" spans="1:4" x14ac:dyDescent="0.25">
      <c r="A21">
        <v>19</v>
      </c>
      <c r="B21" t="s">
        <v>80</v>
      </c>
      <c r="C21" t="s">
        <v>175</v>
      </c>
      <c r="D21">
        <v>23</v>
      </c>
    </row>
    <row r="22" spans="1:4" x14ac:dyDescent="0.25">
      <c r="A22">
        <v>20</v>
      </c>
      <c r="B22" t="s">
        <v>82</v>
      </c>
      <c r="C22" t="s">
        <v>176</v>
      </c>
      <c r="D22">
        <v>24</v>
      </c>
    </row>
    <row r="23" spans="1:4" x14ac:dyDescent="0.25">
      <c r="A23">
        <v>21</v>
      </c>
      <c r="B23" t="s">
        <v>86</v>
      </c>
      <c r="C23" t="s">
        <v>177</v>
      </c>
      <c r="D23">
        <v>25</v>
      </c>
    </row>
    <row r="24" spans="1:4" x14ac:dyDescent="0.25">
      <c r="A24">
        <v>22</v>
      </c>
      <c r="B24" t="s">
        <v>74</v>
      </c>
      <c r="C24" t="s">
        <v>178</v>
      </c>
      <c r="D24">
        <v>26</v>
      </c>
    </row>
    <row r="25" spans="1:4" x14ac:dyDescent="0.25">
      <c r="A25">
        <v>23</v>
      </c>
      <c r="B25" t="s">
        <v>72</v>
      </c>
      <c r="C25" t="s">
        <v>179</v>
      </c>
      <c r="D25">
        <v>27</v>
      </c>
    </row>
    <row r="26" spans="1:4" x14ac:dyDescent="0.25">
      <c r="A26">
        <v>24</v>
      </c>
      <c r="B26" t="s">
        <v>66</v>
      </c>
      <c r="C26" t="s">
        <v>180</v>
      </c>
      <c r="D26">
        <v>28</v>
      </c>
    </row>
    <row r="27" spans="1:4" x14ac:dyDescent="0.25">
      <c r="A27">
        <v>25</v>
      </c>
      <c r="B27" t="s">
        <v>70</v>
      </c>
      <c r="C27" t="s">
        <v>181</v>
      </c>
      <c r="D27">
        <v>29</v>
      </c>
    </row>
    <row r="28" spans="1:4" x14ac:dyDescent="0.25">
      <c r="A28">
        <v>26</v>
      </c>
      <c r="B28" t="s">
        <v>64</v>
      </c>
      <c r="C28" t="s">
        <v>182</v>
      </c>
      <c r="D28">
        <v>30</v>
      </c>
    </row>
    <row r="29" spans="1:4" x14ac:dyDescent="0.25">
      <c r="A29">
        <v>27</v>
      </c>
      <c r="B29" t="s">
        <v>57</v>
      </c>
      <c r="C29" t="s">
        <v>183</v>
      </c>
      <c r="D29">
        <v>31</v>
      </c>
    </row>
    <row r="30" spans="1:4" x14ac:dyDescent="0.25">
      <c r="A30">
        <v>28</v>
      </c>
      <c r="B30" t="s">
        <v>48</v>
      </c>
      <c r="C30" t="s">
        <v>184</v>
      </c>
      <c r="D30">
        <v>32</v>
      </c>
    </row>
    <row r="31" spans="1:4" x14ac:dyDescent="0.25">
      <c r="A31">
        <v>29</v>
      </c>
      <c r="B31" t="s">
        <v>55</v>
      </c>
      <c r="C31" t="s">
        <v>185</v>
      </c>
      <c r="D31">
        <v>33</v>
      </c>
    </row>
    <row r="32" spans="1:4" x14ac:dyDescent="0.25">
      <c r="A32">
        <v>30</v>
      </c>
      <c r="B32" t="s">
        <v>53</v>
      </c>
      <c r="C32" t="s">
        <v>186</v>
      </c>
      <c r="D32">
        <v>34</v>
      </c>
    </row>
    <row r="33" spans="1:4" x14ac:dyDescent="0.25">
      <c r="A33">
        <v>31</v>
      </c>
      <c r="B33" t="s">
        <v>51</v>
      </c>
      <c r="C33" t="s">
        <v>187</v>
      </c>
      <c r="D33">
        <v>35</v>
      </c>
    </row>
    <row r="34" spans="1:4" x14ac:dyDescent="0.25">
      <c r="A34">
        <v>32</v>
      </c>
      <c r="B34" t="s">
        <v>46</v>
      </c>
      <c r="C34" t="s">
        <v>188</v>
      </c>
      <c r="D34">
        <v>36</v>
      </c>
    </row>
    <row r="35" spans="1:4" x14ac:dyDescent="0.25">
      <c r="A35">
        <v>33</v>
      </c>
      <c r="B35" t="s">
        <v>62</v>
      </c>
      <c r="C35" t="s">
        <v>189</v>
      </c>
      <c r="D35">
        <v>37</v>
      </c>
    </row>
    <row r="36" spans="1:4" x14ac:dyDescent="0.25">
      <c r="A36">
        <v>34</v>
      </c>
      <c r="B36" t="s">
        <v>60</v>
      </c>
      <c r="C36" t="s">
        <v>190</v>
      </c>
      <c r="D36">
        <v>38</v>
      </c>
    </row>
    <row r="37" spans="1:4" x14ac:dyDescent="0.25">
      <c r="A37">
        <v>35</v>
      </c>
      <c r="B37" t="s">
        <v>44</v>
      </c>
      <c r="C37" t="s">
        <v>191</v>
      </c>
      <c r="D37">
        <v>39</v>
      </c>
    </row>
    <row r="38" spans="1:4" x14ac:dyDescent="0.25">
      <c r="A38">
        <v>36</v>
      </c>
      <c r="B38" t="s">
        <v>76</v>
      </c>
      <c r="C38" t="s">
        <v>192</v>
      </c>
      <c r="D38">
        <v>40</v>
      </c>
    </row>
    <row r="39" spans="1:4" x14ac:dyDescent="0.25">
      <c r="A39">
        <v>37</v>
      </c>
      <c r="B39" t="s">
        <v>41</v>
      </c>
      <c r="C39" t="s">
        <v>193</v>
      </c>
      <c r="D39">
        <v>41</v>
      </c>
    </row>
    <row r="40" spans="1:4" x14ac:dyDescent="0.25">
      <c r="A40">
        <v>38</v>
      </c>
      <c r="B40" t="s">
        <v>39</v>
      </c>
      <c r="C40" t="s">
        <v>194</v>
      </c>
      <c r="D40">
        <v>42</v>
      </c>
    </row>
    <row r="41" spans="1:4" x14ac:dyDescent="0.25">
      <c r="A41">
        <v>39</v>
      </c>
      <c r="B41" t="s">
        <v>35</v>
      </c>
      <c r="C41" t="s">
        <v>195</v>
      </c>
      <c r="D41">
        <v>44</v>
      </c>
    </row>
    <row r="42" spans="1:4" x14ac:dyDescent="0.25">
      <c r="A42">
        <v>40</v>
      </c>
      <c r="B42" t="s">
        <v>32</v>
      </c>
      <c r="C42" t="s">
        <v>196</v>
      </c>
      <c r="D42">
        <v>45</v>
      </c>
    </row>
    <row r="43" spans="1:4" x14ac:dyDescent="0.25">
      <c r="A43">
        <v>41</v>
      </c>
      <c r="B43" t="s">
        <v>30</v>
      </c>
      <c r="C43" t="s">
        <v>197</v>
      </c>
      <c r="D43">
        <v>46</v>
      </c>
    </row>
    <row r="44" spans="1:4" x14ac:dyDescent="0.25">
      <c r="A44">
        <v>42</v>
      </c>
      <c r="B44" t="s">
        <v>92</v>
      </c>
      <c r="C44" t="s">
        <v>198</v>
      </c>
      <c r="D44">
        <v>47</v>
      </c>
    </row>
    <row r="45" spans="1:4" x14ac:dyDescent="0.25">
      <c r="A45">
        <v>43</v>
      </c>
      <c r="B45" t="s">
        <v>25</v>
      </c>
      <c r="C45" t="s">
        <v>199</v>
      </c>
      <c r="D45">
        <v>48</v>
      </c>
    </row>
    <row r="46" spans="1:4" x14ac:dyDescent="0.25">
      <c r="A46">
        <v>44</v>
      </c>
      <c r="B46" t="s">
        <v>12</v>
      </c>
      <c r="C46" t="s">
        <v>200</v>
      </c>
      <c r="D46">
        <v>50</v>
      </c>
    </row>
    <row r="47" spans="1:4" x14ac:dyDescent="0.25">
      <c r="A47">
        <v>45</v>
      </c>
      <c r="B47" t="s">
        <v>20</v>
      </c>
      <c r="C47" t="s">
        <v>201</v>
      </c>
      <c r="D47">
        <v>49</v>
      </c>
    </row>
    <row r="48" spans="1:4" x14ac:dyDescent="0.25">
      <c r="A48">
        <v>46</v>
      </c>
      <c r="B48" t="s">
        <v>18</v>
      </c>
      <c r="C48" t="s">
        <v>202</v>
      </c>
      <c r="D48">
        <v>51</v>
      </c>
    </row>
    <row r="49" spans="1:4" x14ac:dyDescent="0.25">
      <c r="A49">
        <v>47</v>
      </c>
      <c r="B49" t="s">
        <v>108</v>
      </c>
      <c r="C49" t="s">
        <v>203</v>
      </c>
      <c r="D49">
        <v>53</v>
      </c>
    </row>
    <row r="50" spans="1:4" x14ac:dyDescent="0.25">
      <c r="A50">
        <v>48</v>
      </c>
      <c r="B50" t="s">
        <v>6</v>
      </c>
      <c r="C50" t="s">
        <v>204</v>
      </c>
      <c r="D50">
        <v>54</v>
      </c>
    </row>
    <row r="51" spans="1:4" x14ac:dyDescent="0.25">
      <c r="A51">
        <v>49</v>
      </c>
      <c r="B51" t="s">
        <v>9</v>
      </c>
      <c r="C51" t="s">
        <v>205</v>
      </c>
      <c r="D51">
        <v>55</v>
      </c>
    </row>
    <row r="52" spans="1:4" x14ac:dyDescent="0.25">
      <c r="A52">
        <v>50</v>
      </c>
      <c r="B52" t="s">
        <v>3</v>
      </c>
      <c r="C52" t="s">
        <v>206</v>
      </c>
      <c r="D52">
        <v>56</v>
      </c>
    </row>
    <row r="53" spans="1:4" x14ac:dyDescent="0.25">
      <c r="A53">
        <v>51</v>
      </c>
      <c r="B53" t="s">
        <v>37</v>
      </c>
      <c r="C53" t="s">
        <v>207</v>
      </c>
      <c r="D53">
        <v>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7FE0E0AC30244BADCABB718184D0ED" ma:contentTypeVersion="13" ma:contentTypeDescription="Create a new document." ma:contentTypeScope="" ma:versionID="0190c41ca60ef338e9ff8283470f7445">
  <xsd:schema xmlns:xsd="http://www.w3.org/2001/XMLSchema" xmlns:xs="http://www.w3.org/2001/XMLSchema" xmlns:p="http://schemas.microsoft.com/office/2006/metadata/properties" xmlns:ns3="5a0846b3-afc8-4dbe-87c2-9b9b4046f3a6" xmlns:ns4="3e8cad3e-dff8-4e88-8ae7-12a34bb58dab" targetNamespace="http://schemas.microsoft.com/office/2006/metadata/properties" ma:root="true" ma:fieldsID="b0289c1529b07cad901c7bdb3e8145b9" ns3:_="" ns4:_="">
    <xsd:import namespace="5a0846b3-afc8-4dbe-87c2-9b9b4046f3a6"/>
    <xsd:import namespace="3e8cad3e-dff8-4e88-8ae7-12a34bb58d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846b3-afc8-4dbe-87c2-9b9b4046f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cad3e-dff8-4e88-8ae7-12a34bb58d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59EF61-27C2-4A20-B3E6-1D95E3C39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846b3-afc8-4dbe-87c2-9b9b4046f3a6"/>
    <ds:schemaRef ds:uri="3e8cad3e-dff8-4e88-8ae7-12a34bb58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60BB1A-DBB9-4CB1-A7CE-CACE91A8BB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A872EA-0FDB-4F60-8E83-BBDB1B3E030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e8cad3e-dff8-4e88-8ae7-12a34bb58dab"/>
    <ds:schemaRef ds:uri="5a0846b3-afc8-4dbe-87c2-9b9b4046f3a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states_and_regions</vt:lpstr>
      <vt:lpstr>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Hutchison, John K</dc:creator>
  <cp:lastModifiedBy>Hutchison, John K</cp:lastModifiedBy>
  <dcterms:created xsi:type="dcterms:W3CDTF">2022-03-10T05:51:02Z</dcterms:created>
  <dcterms:modified xsi:type="dcterms:W3CDTF">2022-03-10T05:51:02Z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0x0101009B7FE0E0AC30244BADCABB718184D0ED</vt:lpwstr>
  </property>
</Properties>
</file>